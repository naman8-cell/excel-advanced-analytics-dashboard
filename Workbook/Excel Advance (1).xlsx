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xr:revisionPtr revIDLastSave="0" documentId="8_{807379E9-FECF-4CE0-90E0-0C3CFC04B83B}" xr6:coauthVersionLast="47" xr6:coauthVersionMax="47" xr10:uidLastSave="{00000000-0000-0000-0000-000000000000}"/>
  <bookViews>
    <workbookView xWindow="240" yWindow="105" windowWidth="14805" windowHeight="8010" firstSheet="8" activeTab="8" xr2:uid="{00000000-000D-0000-FFFF-FFFF00000000}"/>
  </bookViews>
  <sheets>
    <sheet name="Description" sheetId="1" r:id="rId1"/>
    <sheet name="Dashboard" sheetId="2" r:id="rId2"/>
    <sheet name="Business Insights" sheetId="3" r:id="rId3"/>
    <sheet name="GIS Projects" sheetId="4" r:id="rId4"/>
    <sheet name="Team Leadership" sheetId="5" r:id="rId5"/>
    <sheet name="Advanced Formulas" sheetId="6" r:id="rId6"/>
    <sheet name="Pivot Analysis" sheetId="7" r:id="rId7"/>
    <sheet name="Chart Gallery" sheetId="8" r:id="rId8"/>
    <sheet name="Automation" sheetId="9" r:id="rId9"/>
    <sheet name="GIS Project Data" sheetId="11" r:id="rId10"/>
    <sheet name="README" sheetId="10" r:id="rId11"/>
  </sheets>
  <definedNames>
    <definedName name="Slicer_Project_Type">#N/A</definedName>
    <definedName name="Slicer_Region">#N/A</definedName>
  </definedNames>
  <calcPr calcId="191028" calcCompleted="0"/>
  <pivotCaches>
    <pivotCache cacheId="3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7" i="5" l="1"/>
  <c r="L18" i="5"/>
  <c r="L19" i="5"/>
  <c r="L20" i="5"/>
  <c r="L21" i="5"/>
  <c r="L16" i="5"/>
  <c r="E17" i="1" a="1"/>
  <c r="E17" i="1"/>
  <c r="B7" i="5"/>
  <c r="B6" i="5"/>
  <c r="K5" i="5" s="1"/>
  <c r="D7" i="5"/>
  <c r="E7" i="5"/>
  <c r="F7" i="5"/>
  <c r="G7" i="5"/>
  <c r="H7" i="5"/>
  <c r="D8" i="5"/>
  <c r="E8" i="5"/>
  <c r="F8" i="5"/>
  <c r="G8" i="5"/>
  <c r="H8" i="5"/>
  <c r="D9" i="5"/>
  <c r="E9" i="5"/>
  <c r="F9" i="5"/>
  <c r="G9" i="5"/>
  <c r="H9" i="5"/>
  <c r="D10" i="5"/>
  <c r="E10" i="5"/>
  <c r="F10" i="5"/>
  <c r="G10" i="5"/>
  <c r="H10" i="5"/>
  <c r="D11" i="5"/>
  <c r="E11" i="5"/>
  <c r="F11" i="5"/>
  <c r="G11" i="5"/>
  <c r="H11" i="5"/>
  <c r="B9" i="5"/>
  <c r="C9" i="5"/>
  <c r="B10" i="5"/>
  <c r="C10" i="5"/>
  <c r="B11" i="5"/>
  <c r="C11" i="5"/>
  <c r="B12" i="3"/>
  <c r="N53" i="3"/>
  <c r="N52" i="3"/>
  <c r="N51" i="3"/>
  <c r="N50" i="3"/>
  <c r="N49" i="3"/>
  <c r="N48" i="3"/>
  <c r="N47" i="3"/>
  <c r="N46" i="3"/>
  <c r="N45" i="3"/>
  <c r="N44" i="3"/>
  <c r="N43" i="3"/>
  <c r="N42" i="3"/>
  <c r="N41" i="3"/>
  <c r="N40" i="3"/>
  <c r="N39" i="3"/>
  <c r="N38" i="3"/>
  <c r="N37" i="3"/>
  <c r="N36" i="3"/>
  <c r="N35" i="3"/>
  <c r="N34" i="3"/>
  <c r="O34" i="3" s="1"/>
  <c r="N33" i="3"/>
  <c r="N32" i="3"/>
  <c r="N31" i="3"/>
  <c r="N30" i="3"/>
  <c r="O10" i="3"/>
  <c r="P10" i="3"/>
  <c r="Q10" i="3"/>
  <c r="O11" i="3"/>
  <c r="P11" i="3"/>
  <c r="Q11" i="3"/>
  <c r="O12" i="3"/>
  <c r="P12" i="3"/>
  <c r="Q12" i="3"/>
  <c r="O13" i="3"/>
  <c r="P13" i="3"/>
  <c r="Q13" i="3"/>
  <c r="O14" i="3"/>
  <c r="P14" i="3"/>
  <c r="Q14" i="3"/>
  <c r="O15" i="3"/>
  <c r="P15" i="3"/>
  <c r="Q15" i="3"/>
  <c r="O16" i="3"/>
  <c r="P16" i="3"/>
  <c r="Q16" i="3"/>
  <c r="O17" i="3"/>
  <c r="P17" i="3"/>
  <c r="Q17" i="3"/>
  <c r="O18" i="3"/>
  <c r="P18" i="3"/>
  <c r="Q18" i="3"/>
  <c r="O19" i="3"/>
  <c r="P19" i="3"/>
  <c r="Q19" i="3"/>
  <c r="O20" i="3"/>
  <c r="P20" i="3"/>
  <c r="Q20" i="3"/>
  <c r="O21" i="3"/>
  <c r="P21" i="3"/>
  <c r="Q21" i="3"/>
  <c r="O22" i="3"/>
  <c r="P22" i="3"/>
  <c r="Q22" i="3"/>
  <c r="O23" i="3"/>
  <c r="P23" i="3"/>
  <c r="Q23" i="3"/>
  <c r="O24" i="3"/>
  <c r="P24" i="3"/>
  <c r="Q24" i="3"/>
  <c r="O25" i="3"/>
  <c r="P25" i="3"/>
  <c r="Q25" i="3"/>
  <c r="O26" i="3"/>
  <c r="P26" i="3"/>
  <c r="Q26" i="3"/>
  <c r="D8" i="6" a="1"/>
  <c r="D8" i="6"/>
  <c r="B12" i="6" a="1"/>
  <c r="B12" i="6"/>
  <c r="B10" i="6"/>
  <c r="B9" i="6"/>
  <c r="B8" i="6"/>
  <c r="B7" i="6"/>
  <c r="B6" i="6"/>
  <c r="C8" i="5"/>
  <c r="B8" i="5"/>
  <c r="C7" i="5"/>
  <c r="H6" i="5"/>
  <c r="G6" i="5"/>
  <c r="F6" i="5"/>
  <c r="E6" i="5"/>
  <c r="D6" i="5"/>
  <c r="C6" i="5"/>
  <c r="H24" i="4"/>
  <c r="G24" i="4"/>
  <c r="F24" i="4"/>
  <c r="E24" i="4"/>
  <c r="D24" i="4"/>
  <c r="C24" i="4"/>
  <c r="B24" i="4"/>
  <c r="A24" i="4"/>
  <c r="H23" i="4"/>
  <c r="G23" i="4"/>
  <c r="F23" i="4"/>
  <c r="E23" i="4"/>
  <c r="D23" i="4"/>
  <c r="C23" i="4"/>
  <c r="B23" i="4"/>
  <c r="A23" i="4"/>
  <c r="H22" i="4"/>
  <c r="G22" i="4"/>
  <c r="F22" i="4"/>
  <c r="E22" i="4"/>
  <c r="D22" i="4"/>
  <c r="C22" i="4"/>
  <c r="B22" i="4"/>
  <c r="A22" i="4"/>
  <c r="H21" i="4"/>
  <c r="G21" i="4"/>
  <c r="F21" i="4"/>
  <c r="E21" i="4"/>
  <c r="D21" i="4"/>
  <c r="C21" i="4"/>
  <c r="B21" i="4"/>
  <c r="A21" i="4"/>
  <c r="H20" i="4"/>
  <c r="G20" i="4"/>
  <c r="F20" i="4"/>
  <c r="E20" i="4"/>
  <c r="D20" i="4"/>
  <c r="C20" i="4"/>
  <c r="B20" i="4"/>
  <c r="A20" i="4"/>
  <c r="H19" i="4"/>
  <c r="G19" i="4"/>
  <c r="F19" i="4"/>
  <c r="E19" i="4"/>
  <c r="D19" i="4"/>
  <c r="C19" i="4"/>
  <c r="B19" i="4"/>
  <c r="A19" i="4"/>
  <c r="H18" i="4"/>
  <c r="G18" i="4"/>
  <c r="F18" i="4"/>
  <c r="E18" i="4"/>
  <c r="D18" i="4"/>
  <c r="C18" i="4"/>
  <c r="B18" i="4"/>
  <c r="A18" i="4"/>
  <c r="H17" i="4"/>
  <c r="G17" i="4"/>
  <c r="F17" i="4"/>
  <c r="E17" i="4"/>
  <c r="D17" i="4"/>
  <c r="C17" i="4"/>
  <c r="B17" i="4"/>
  <c r="A17" i="4"/>
  <c r="H16" i="4"/>
  <c r="G16" i="4"/>
  <c r="F16" i="4"/>
  <c r="E16" i="4"/>
  <c r="D16" i="4"/>
  <c r="C16" i="4"/>
  <c r="B16" i="4"/>
  <c r="A16" i="4"/>
  <c r="H15" i="4"/>
  <c r="G15" i="4"/>
  <c r="F15" i="4"/>
  <c r="E15" i="4"/>
  <c r="D15" i="4"/>
  <c r="C15" i="4"/>
  <c r="B15" i="4"/>
  <c r="A15" i="4"/>
  <c r="Q9" i="3"/>
  <c r="P9" i="3"/>
  <c r="O9" i="3"/>
  <c r="Q8" i="3"/>
  <c r="P8" i="3"/>
  <c r="O8" i="3"/>
  <c r="Q7" i="3"/>
  <c r="P7" i="3"/>
  <c r="O7" i="3"/>
  <c r="Q6" i="3"/>
  <c r="P6" i="3"/>
  <c r="O6" i="3"/>
  <c r="Q5" i="3"/>
  <c r="P5" i="3"/>
  <c r="O5" i="3"/>
  <c r="Q4" i="3"/>
  <c r="P4" i="3"/>
  <c r="O4" i="3"/>
  <c r="Q3" i="3"/>
  <c r="P3" i="3"/>
  <c r="O3" i="3"/>
  <c r="L10" i="3"/>
  <c r="I10" i="3"/>
  <c r="H10" i="3"/>
  <c r="G10" i="3"/>
  <c r="F10" i="3"/>
  <c r="L9" i="3"/>
  <c r="I9" i="3"/>
  <c r="H9" i="3"/>
  <c r="G9" i="3"/>
  <c r="F9" i="3"/>
  <c r="L8" i="3"/>
  <c r="I8" i="3"/>
  <c r="H8" i="3"/>
  <c r="G8" i="3"/>
  <c r="F8" i="3"/>
  <c r="L7" i="3"/>
  <c r="I7" i="3"/>
  <c r="H7" i="3"/>
  <c r="G7" i="3"/>
  <c r="F7" i="3"/>
  <c r="L6" i="3"/>
  <c r="I6" i="3"/>
  <c r="H6" i="3"/>
  <c r="G6" i="3"/>
  <c r="F6" i="3"/>
  <c r="R7" i="2"/>
  <c r="R6" i="2"/>
  <c r="R5" i="2"/>
  <c r="R4" i="2"/>
  <c r="R3" i="2"/>
  <c r="O6" i="2"/>
  <c r="O5" i="2"/>
  <c r="O4" i="2"/>
  <c r="O3"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J11" i="2"/>
  <c r="A11" i="2"/>
  <c r="J7" i="2"/>
  <c r="G7" i="2"/>
  <c r="D7" i="2"/>
  <c r="A7" i="2"/>
  <c r="L5" i="5" l="1"/>
  <c r="K7" i="5"/>
  <c r="K12" i="5"/>
  <c r="K10" i="5"/>
  <c r="K15" i="5"/>
  <c r="K9" i="5"/>
  <c r="K14" i="5"/>
  <c r="K8" i="5"/>
  <c r="K13" i="5"/>
  <c r="K6" i="5"/>
  <c r="K11" i="5"/>
  <c r="B11" i="6"/>
  <c r="J6" i="3"/>
  <c r="K6" i="3"/>
  <c r="J7" i="3"/>
  <c r="K7" i="3"/>
  <c r="J8" i="3"/>
  <c r="K8" i="3"/>
  <c r="J9" i="3"/>
  <c r="K9" i="3"/>
  <c r="J10" i="3"/>
  <c r="K10" i="3"/>
  <c r="Q30" i="3"/>
  <c r="P30" i="3"/>
  <c r="O30" i="3"/>
  <c r="Q31" i="3"/>
  <c r="P31" i="3"/>
  <c r="O31" i="3"/>
  <c r="Q32" i="3"/>
  <c r="P32" i="3"/>
  <c r="O32" i="3"/>
  <c r="Q33" i="3"/>
  <c r="P33" i="3"/>
  <c r="O33" i="3"/>
  <c r="Q34" i="3"/>
  <c r="P34" i="3"/>
  <c r="Q35" i="3"/>
  <c r="P35" i="3"/>
  <c r="O35" i="3"/>
  <c r="Q36" i="3"/>
  <c r="P36" i="3"/>
  <c r="O36" i="3"/>
  <c r="Q37" i="3"/>
  <c r="P37" i="3"/>
  <c r="O37" i="3"/>
  <c r="Q38" i="3"/>
  <c r="P38" i="3"/>
  <c r="O38" i="3"/>
  <c r="Q39" i="3"/>
  <c r="P39" i="3"/>
  <c r="O39" i="3"/>
  <c r="Q40" i="3"/>
  <c r="P40" i="3"/>
  <c r="O40" i="3"/>
  <c r="Q41" i="3"/>
  <c r="P41" i="3"/>
  <c r="O41" i="3"/>
  <c r="Q42" i="3"/>
  <c r="P42" i="3"/>
  <c r="O42" i="3"/>
  <c r="Q43" i="3"/>
  <c r="P43" i="3"/>
  <c r="O43" i="3"/>
  <c r="Q44" i="3"/>
  <c r="P44" i="3"/>
  <c r="O44" i="3"/>
  <c r="Q45" i="3"/>
  <c r="P45" i="3"/>
  <c r="O45" i="3"/>
  <c r="Q46" i="3"/>
  <c r="P46" i="3"/>
  <c r="O46" i="3"/>
  <c r="Q47" i="3"/>
  <c r="P47" i="3"/>
  <c r="O47" i="3"/>
  <c r="Q48" i="3"/>
  <c r="P48" i="3"/>
  <c r="O48" i="3"/>
  <c r="Q49" i="3"/>
  <c r="P49" i="3"/>
  <c r="O49" i="3"/>
  <c r="Q50" i="3"/>
  <c r="P50" i="3"/>
  <c r="O50" i="3"/>
  <c r="Q51" i="3"/>
  <c r="P51" i="3"/>
  <c r="O51" i="3"/>
  <c r="Q52" i="3"/>
  <c r="P52" i="3"/>
  <c r="O52" i="3"/>
  <c r="Q53" i="3"/>
  <c r="P53" i="3"/>
  <c r="O53" i="3"/>
  <c r="D11" i="2"/>
  <c r="G11" i="2"/>
  <c r="M5" i="5" l="1"/>
  <c r="M16" i="5" s="1"/>
  <c r="A28" i="5" a="1"/>
  <c r="A28" i="5" s="1"/>
  <c r="L11" i="5"/>
  <c r="M11" i="5"/>
  <c r="L6" i="5"/>
  <c r="M6" i="5"/>
  <c r="M17" i="5" s="1"/>
  <c r="L13" i="5"/>
  <c r="M13" i="5"/>
  <c r="L8" i="5"/>
  <c r="M8" i="5"/>
  <c r="M19" i="5" s="1"/>
  <c r="L14" i="5"/>
  <c r="M14" i="5"/>
  <c r="L9" i="5"/>
  <c r="M9" i="5"/>
  <c r="M20" i="5" s="1"/>
  <c r="L15" i="5"/>
  <c r="M15" i="5"/>
  <c r="L10" i="5"/>
  <c r="M10" i="5"/>
  <c r="M21" i="5" s="1"/>
  <c r="L12" i="5"/>
  <c r="M12" i="5"/>
  <c r="L7" i="5"/>
  <c r="M7" i="5"/>
  <c r="M18" i="5" s="1"/>
  <c r="U2" i="2"/>
  <c r="B8" i="3"/>
  <c r="B9" i="3"/>
  <c r="B11" i="3" s="1"/>
  <c r="B10" i="3"/>
  <c r="E20" i="1" s="1" a="1"/>
  <c r="E20" i="1" s="1"/>
  <c r="H9" i="4"/>
  <c r="F9" i="4"/>
  <c r="E9" i="4"/>
  <c r="G9" i="4"/>
  <c r="H7" i="4"/>
  <c r="F7" i="4"/>
  <c r="E7" i="4"/>
  <c r="G7" i="4"/>
  <c r="F6" i="4"/>
  <c r="G6" i="4"/>
  <c r="E6" i="4"/>
  <c r="H6" i="4"/>
  <c r="F8" i="4"/>
  <c r="G8" i="4"/>
  <c r="E8" i="4"/>
  <c r="H8" i="4"/>
  <c r="F10" i="4"/>
  <c r="G10" i="4"/>
  <c r="E10" i="4"/>
  <c r="H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<sst xmlns="http://schemas.openxmlformats.org/spreadsheetml/2006/main" count="1670" uniqueCount="628">
  <si>
    <t>NAMAN KUMAR — ADVANCED EXCEL &amp; GIS PROJECT SHOWCASE</t>
  </si>
  <si>
    <t xml:space="preserve">GIS Technician | Business Analytics | Team Management | Excel Automation | Pivottable and Charts  | Dashboard  | Automation script | </t>
  </si>
  <si>
    <t>STORY IN BRIEF</t>
  </si>
  <si>
    <t>This workbook demonstrates advanced Excel capability through a realistic 120-project GIS delivery dataset. It combines live formulas, a real PivotTable, interactive filters, management KPIs, dynamic arrays, charting, data validation, conditional formatting, and Office Script examples. Every analytical value links back to the structured project data, so edits flow through the complete reporting model. Use the sheet list below as the workbook table of contents.</t>
  </si>
  <si>
    <t>SHEET</t>
  </si>
  <si>
    <t>PURPOSE</t>
  </si>
  <si>
    <t>PROJECT EXPLORER</t>
  </si>
  <si>
    <t>Dashboard</t>
  </si>
  <si>
    <t>Interactive executive KPIs and charts with Region and Status selectors</t>
  </si>
  <si>
    <t xml:space="preserve">Choose the sheet you are willing to known about </t>
  </si>
  <si>
    <t>Business Insights</t>
  </si>
  <si>
    <t>Department and monthly financial performance analysis</t>
  </si>
  <si>
    <t xml:space="preserve">Choose Sheet </t>
  </si>
  <si>
    <t>Advanced Formulas</t>
  </si>
  <si>
    <t>GIS Projects</t>
  </si>
  <si>
    <t>GIS methods, spatial project examples, and capability matrix</t>
  </si>
  <si>
    <t>Team Leadership</t>
  </si>
  <si>
    <t>Manager workload, delivery status, and RACI governance</t>
  </si>
  <si>
    <t>What it demonstrates</t>
  </si>
  <si>
    <t>h</t>
  </si>
  <si>
    <t>Live XLOOKUP, FILTER, UNIQUE, LET, SUMIFS, and variance examples</t>
  </si>
  <si>
    <t>Pivot Analysis</t>
  </si>
  <si>
    <t>Real PivotTable with region/status summaries and slicers</t>
  </si>
  <si>
    <t>Chart Gallery</t>
  </si>
  <si>
    <t>Professional chart examples for business storytelling</t>
  </si>
  <si>
    <t>DataSet Contains</t>
  </si>
  <si>
    <t>Automation</t>
  </si>
  <si>
    <t>Office Script samples, workflow checklist, and action guidance</t>
  </si>
  <si>
    <t>README</t>
  </si>
  <si>
    <t>GitHub-ready project description and usage notes</t>
  </si>
  <si>
    <t>GIS Project Data</t>
  </si>
  <si>
    <t>Structured 120-row source table powering all project analysis</t>
  </si>
  <si>
    <t>How to explore</t>
  </si>
  <si>
    <t>Choose a section above, then open its worksheet tab to review the live example.</t>
  </si>
  <si>
    <t>Project model: formulas recalculate automatically; dashboard dropdowns drive KPI and chart results.</t>
  </si>
  <si>
    <t>EXECUTIVE DASHBOARD — GIS PROJECT DELIVERY</t>
  </si>
  <si>
    <t>KEY FINDINGS</t>
  </si>
  <si>
    <t>Interactive management view | Use the Region and Status dropdowns to update all KPI tiles and charts</t>
  </si>
  <si>
    <t>Status</t>
  </si>
  <si>
    <t>Projects</t>
  </si>
  <si>
    <t>Region</t>
  </si>
  <si>
    <t>Business Value</t>
  </si>
  <si>
    <t>Active</t>
  </si>
  <si>
    <t>North</t>
  </si>
  <si>
    <t>All</t>
  </si>
  <si>
    <t>On Hold</t>
  </si>
  <si>
    <t>Complete</t>
  </si>
  <si>
    <t>South</t>
  </si>
  <si>
    <t>At Risk</t>
  </si>
  <si>
    <t>East</t>
  </si>
  <si>
    <t>PROJECTS</t>
  </si>
  <si>
    <t>BUDGET</t>
  </si>
  <si>
    <t>ACTUAL COST</t>
  </si>
  <si>
    <t>BUSINESS VALUE</t>
  </si>
  <si>
    <t>West</t>
  </si>
  <si>
    <t>Central</t>
  </si>
  <si>
    <t>AVG COMPLETION</t>
  </si>
  <si>
    <t>COST VARIANCE</t>
  </si>
  <si>
    <t>VALUE / COST</t>
  </si>
  <si>
    <t>HIGH-RISK PROJECTS</t>
  </si>
  <si>
    <t>Month</t>
  </si>
  <si>
    <t>Budget</t>
  </si>
  <si>
    <t>Actual Cost</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</si>
  <si>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</si>
  <si>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</si>
  <si>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</si>
  <si>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</si>
  <si>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</si>
  <si>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</si>
  <si>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</si>
  <si>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</si>
  <si>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</si>
  <si>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</si>
  <si>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</si>
  <si>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</si>
  <si>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</si>
  <si>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</si>
  <si>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</si>
  <si>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</si>
  <si>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</si>
  <si>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</si>
  <si>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</si>
  <si>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</si>
  <si>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</si>
  <si>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</si>
  <si>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</si>
  <si>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</si>
  <si>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BUSINESS INSIGHTS — FINANCIAL &amp; DELIVERY ANALYSIS</t>
  </si>
  <si>
    <t>MONTHLY TREND</t>
  </si>
  <si>
    <t>Live SUMIFS, COUNTIFS, variance, margin, and monthly trend analysis from tblProjects</t>
  </si>
  <si>
    <t>INTERACTIVE DEPARTMENT VIEW</t>
  </si>
  <si>
    <t>DEPARTMENT PERFORMANCE</t>
  </si>
  <si>
    <t>Department</t>
  </si>
  <si>
    <t>Operations</t>
  </si>
  <si>
    <t>Cost Variance</t>
  </si>
  <si>
    <t>Value / Cost</t>
  </si>
  <si>
    <t>Avg Completion</t>
  </si>
  <si>
    <t>SELECTED DEPARTMENT KPIs</t>
  </si>
  <si>
    <t>Planning</t>
  </si>
  <si>
    <t>Utilities</t>
  </si>
  <si>
    <t>Environment</t>
  </si>
  <si>
    <t>Transport</t>
  </si>
  <si>
    <t>GIS PROJECTS — SPATIAL ANALYTICS CAPABILITY</t>
  </si>
  <si>
    <t>Examples connecting GIS project delivery, spatial data quality, coordinates, and business outcomes</t>
  </si>
  <si>
    <t>GIS CAPABILITY MATRIX</t>
  </si>
  <si>
    <t>Capability</t>
  </si>
  <si>
    <t>Tool / Method</t>
  </si>
  <si>
    <t>Business Use</t>
  </si>
  <si>
    <t>Skill Level</t>
  </si>
  <si>
    <t>Avg Risk</t>
  </si>
  <si>
    <t>Evidence</t>
  </si>
  <si>
    <t>Spatial Analysis</t>
  </si>
  <si>
    <t>ArcGIS Pro / QGIS</t>
  </si>
  <si>
    <t>Site suitability &amp; proximity</t>
  </si>
  <si>
    <t>Advanced</t>
  </si>
  <si>
    <t>Asset Mapping</t>
  </si>
  <si>
    <t>Geodatabases / topology</t>
  </si>
  <si>
    <t>Asset visibility &amp; maintenance</t>
  </si>
  <si>
    <t>Field Survey</t>
  </si>
  <si>
    <t>GNSS / mobile collection</t>
  </si>
  <si>
    <t>Ground truth &amp; inspection</t>
  </si>
  <si>
    <t>GIS Dashboards</t>
  </si>
  <si>
    <t>Excel + GIS KPIs</t>
  </si>
  <si>
    <t>Operational decision support</t>
  </si>
  <si>
    <t>Data Quality</t>
  </si>
  <si>
    <t>Validation / QA rules</t>
  </si>
  <si>
    <t>Reliable spatial reporting</t>
  </si>
  <si>
    <t>SELECTED SPATIAL PROJECT RECORDS</t>
  </si>
  <si>
    <t>Project ID</t>
  </si>
  <si>
    <t>Project Name</t>
  </si>
  <si>
    <t>Type</t>
  </si>
  <si>
    <t>X Coordinate</t>
  </si>
  <si>
    <t>Y Coordinate</t>
  </si>
  <si>
    <t>Risk</t>
  </si>
  <si>
    <t>TEAM LEADERSHIP — WORKLOAD &amp; DELIVERY GOVERNANCE</t>
  </si>
  <si>
    <t>Team Production Daily Tracking</t>
  </si>
  <si>
    <t>Manager capacity, project status, delivery risk, and RACI accountability demonstration</t>
  </si>
  <si>
    <t>MANAGER WORKLOAD</t>
  </si>
  <si>
    <t>Manager Name</t>
  </si>
  <si>
    <t>Live Project</t>
  </si>
  <si>
    <t>Non-Active</t>
  </si>
  <si>
    <t>Active projects</t>
  </si>
  <si>
    <t>Workstream</t>
  </si>
  <si>
    <t>Manager</t>
  </si>
  <si>
    <t>Hours</t>
  </si>
  <si>
    <t>Team Seats</t>
  </si>
  <si>
    <t>Value Delivered</t>
  </si>
  <si>
    <t>Naman Kumar</t>
  </si>
  <si>
    <t>Requirements</t>
  </si>
  <si>
    <t>Aisha Patel</t>
  </si>
  <si>
    <t>Data Collection</t>
  </si>
  <si>
    <t>Ravi Singh</t>
  </si>
  <si>
    <t>Meera Shah</t>
  </si>
  <si>
    <t>Quality Review</t>
  </si>
  <si>
    <t>Daniel Lee</t>
  </si>
  <si>
    <t>Dashboard Update</t>
  </si>
  <si>
    <t>Fatima Khan</t>
  </si>
  <si>
    <t>Decision &amp; Sign-off</t>
  </si>
  <si>
    <t>RACI GOVERNANCE MODEL</t>
  </si>
  <si>
    <t>GIS Technician</t>
  </si>
  <si>
    <t>Project Manager</t>
  </si>
  <si>
    <t>Business Lead</t>
  </si>
  <si>
    <t>Field Team</t>
  </si>
  <si>
    <t>QA Lead</t>
  </si>
  <si>
    <t>Stakeholder</t>
  </si>
  <si>
    <t>Cadence</t>
  </si>
  <si>
    <t>R</t>
  </si>
  <si>
    <t>A</t>
  </si>
  <si>
    <t>C</t>
  </si>
  <si>
    <t>I</t>
  </si>
  <si>
    <t>Kickoff</t>
  </si>
  <si>
    <t>Total Strength</t>
  </si>
  <si>
    <t>Total Active project based on workstream</t>
  </si>
  <si>
    <t>Weekly</t>
  </si>
  <si>
    <t>Per release</t>
  </si>
  <si>
    <t>Biweekly</t>
  </si>
  <si>
    <t>Stage gate</t>
  </si>
  <si>
    <t>Select from dropdown to see Project-wise production</t>
  </si>
  <si>
    <t>ADVANCED FORMULAS — LIVE DEMONSTRATION</t>
  </si>
  <si>
    <t>Modern Excel formulas using structured references and dynamic arrays</t>
  </si>
  <si>
    <t>PROJECT LOOKUP</t>
  </si>
  <si>
    <t>DYNAMIC FILTER — PROJECTS BY REGION</t>
  </si>
  <si>
    <t>Select Project ID</t>
  </si>
  <si>
    <t>GIS-001</t>
  </si>
  <si>
    <t>Variance</t>
  </si>
  <si>
    <t>Risk Flag</t>
  </si>
  <si>
    <t>FORMULA LIBRARY</t>
  </si>
  <si>
    <t>XLOOKUP</t>
  </si>
  <si>
    <t>Exact structured-table retrieval</t>
  </si>
  <si>
    <t>FILTER</t>
  </si>
  <si>
    <t>Dynamic list controlled by a dropdown</t>
  </si>
  <si>
    <t>CHOOSECOLS</t>
  </si>
  <si>
    <t>Selects fields from a dynamic array</t>
  </si>
  <si>
    <t>LET</t>
  </si>
  <si>
    <t>Names intermediate logic for readability</t>
  </si>
  <si>
    <t>SUMIFS</t>
  </si>
  <si>
    <t>Multi-criteria aggregation</t>
  </si>
  <si>
    <t>COUNTIFS</t>
  </si>
  <si>
    <t>Multi-condition project counts</t>
  </si>
  <si>
    <t>INDEX / MATCH</t>
  </si>
  <si>
    <t>Compatible flexible lookup pattern</t>
  </si>
  <si>
    <t>PIVOT ANALYSIS — GIS PROJECT PERFORMANCE</t>
  </si>
  <si>
    <t>Interactive cost and business-value summary by region, status, and project type</t>
  </si>
  <si>
    <t>Project Type</t>
  </si>
  <si>
    <t>(All)</t>
  </si>
  <si>
    <t>Values</t>
  </si>
  <si>
    <t>Total Sum of Actual Cost</t>
  </si>
  <si>
    <t>Total Sum of Business Value</t>
  </si>
  <si>
    <t>Sum of Actual Cost</t>
  </si>
  <si>
    <t>Sum of Business Value</t>
  </si>
  <si>
    <t>Grand Total</t>
  </si>
  <si>
    <t>Slicer to Filter Region</t>
  </si>
  <si>
    <t>Slicer to filter Projects</t>
  </si>
  <si>
    <t>CHART GALLERY — BUSINESS STORYTELLING</t>
  </si>
  <si>
    <t>Comparison, trend, and management workload charts built from live workbook formulas</t>
  </si>
  <si>
    <t>CHART DESIGN PRINCIPLES</t>
  </si>
  <si>
    <t>• Columns compare performance across categories.
• Lines show time-based movement across 24 months.
• Horizontal bars keep manager names readable.
• Currency formats, concise titles, and restrained colors improve executive readability.
• Every chart is linked to live formulas or the structured source table.</t>
  </si>
  <si>
    <t>AUTOMATION — OFFICE SCRIPTS &amp; WORKFLOW ACTIONS</t>
  </si>
  <si>
    <t>These Automation script and their actions buttona are only for overview and knowledge purpose. There is no Actualy functional in this sheet .</t>
  </si>
  <si>
    <t>Automation In excel || Office sciprt workflow || One drive controlled and accessed sciprt || Associated to workbook and Action buttons to run Script</t>
  </si>
  <si>
    <t>This is due to the  Inabsence or work account or Licence for Microsoft 365. I made this workbook from personal account on excel web that would not allowed Automation . There is no Automation Tab present on it .I gave my best to demonstrate  Automation in this sheet.</t>
  </si>
  <si>
    <t>ACTION CENTER</t>
  </si>
  <si>
    <t>SETUP REQUIRED — REFRESH + TIMESTAMP</t>
  </si>
  <si>
    <t>SETUP REQUIRED — HIGH-RISK SCAN</t>
  </si>
  <si>
    <t>LAST REFRESH ACTION: Run the Refresh + Timestamp button</t>
  </si>
  <si>
    <t>HIGH-RISK PROJECT REPORT — run Script 2 to populate</t>
  </si>
  <si>
    <t>Risk Score</t>
  </si>
  <si>
    <t>Completion</t>
  </si>
  <si>
    <t>The script will list every project with a Risk Score of 7 or higher here.</t>
  </si>
  <si>
    <t>SCRIPT 1 — REFRESH DATA &amp; SHOW DATE/TIME</t>
  </si>
  <si>
    <t>SCRIPT 2 — HIGHLIGHT &amp; LIST HIGH-RISK PROJECTS</t>
  </si>
  <si>
    <t>function main(workbook: ExcelScript.Workbook) {
  workbook.refreshAllDataConnections();
  workbook.getApplication().calculate(ExcelScript.CalculationType.full);
  const sheet = workbook.getWorksheet("Automation");
  const stamp = new Date().toLocaleString();
  const box = sheet.getRange("A7:H7");
  box.merge(false);
  box.setValue("LAST REFRESH ACTION: " + stamp);
  box.getFormat().getFill().setColor("#D9EAF7");
  box.getFormat().getFont().setColor("#17365D");
  box.getFormat().getFont().setBold(true);
  box.getFormat().setHorizontalAlignment(ExcelScript.HorizontalAlignment.center);
}</t>
  </si>
  <si>
    <t>function main(workbook: ExcelScript.Workbook) {
  const table = workbook.getTable("tblProjects");
  const data = table.getRangeBetweenHeaderAndTotal();
  const values = data.getValues();
  const text = data.getTexts();
  const headers = table.getHeaderRowRange().getTexts()[0];
  const index = (name: string) =&gt; headers.indexOf(name);
  const id = index("Project ID");
  const project = index("Project Name");
  const region = index("Region");
  const manager = index("Manager");
  const status = index("Status");
  const riskIndex = index("Risk Score");
  const completion = index("Completion %");
  const budget = index("Budget");
  const highRisk: (string | number | boolean)[][] = [];
  for (let row = 0; row &lt; values.length; row++) {
    if (Number(values[row][riskIndex]) &gt;= 7) {
      highRisk.push([
        text[row][id], text[row][project], text[row][region],
        text[row][manager], text[row][status], values[row][riskIndex],
        text[row][completion], text[row][budget]
      ]);
    }
  }
  highRisk.sort((a, b) =&gt; Number(b[5]) - Number(a[5]));
  const risk = table.getColumnByName("Risk Score").getRangeBetweenHeaderAndTotal();
  risk.clearAllConditionalFormats();
  const cf = risk.addConditionalFormat(ExcelScript.ConditionalFormatType.cellValue);
  cf.getCellValue().setRule({
    formula1: "7",
    operator: ExcelScript.ConditionalCellValueOperator.greaterThanOrEqual
  });
  cf.getCellValue().getFormat().getFill().setColor("#FFC7CE");
  cf.getCellValue().getFormat().getFont().setColor("#9C0006");
  cf.getCellValue().getFormat().getFont().setBold(true);
  const sheet = workbook.getWorksheet("Automation");
  const area = sheet.getRange("L7:S180");
  area.unmerge();
  area.clear(ExcelScript.ClearApplyTo.all);
  const statusBox = sheet.getRange("L7:S7");
  statusBox.merge(false);
  statusBox.setValue("HIGH-RISK SCAN: " + highRisk.length + " projects found | " + new Date().toLocaleString());
  statusBox.getFormat().getFill().setColor("#FCE4D6");
  statusBox.getFormat().getFont().setColor("#9C0006");
  statusBox.getFormat().getFont().setBold(true);
  const reportHeaders = [["Project ID", "Project Name", "Region", "Manager", "Status", "Risk Score", "Completion", "Budget"]];
  const header = sheet.getRange("L8:S8");
  header.setValues(reportHeaders);
  header.getFormat().getFill().setColor("#17365D");
  header.getFormat().getFont().setColor("#FFFFFF");
  header.getFormat().getFont().setBold(true);
  if (highRisk.length &gt; 0) {
    sheet.getRangeByIndexes(8, 11, highRisk.length, 8).setValues(highRisk);
    sheet.getRangeByIndexes(8, 11, highRisk.length, 8).getFormat().autofitColumns();
  } else {
    const none = sheet.getRange("L9:S9");
    none.merge(false);
    none.setValue("No projects currently have a Risk Score of 7 or higher.");
  }
}</t>
  </si>
  <si>
    <t>OUTPUT LOCATION: High-risk scan results appear in Automation!L7:S180.</t>
  </si>
  <si>
    <t>Start Date</t>
  </si>
  <si>
    <t>Quarter</t>
  </si>
  <si>
    <t>Team Size</t>
  </si>
  <si>
    <t>Completion %</t>
  </si>
  <si>
    <t>North Asset Mapping 01</t>
  </si>
  <si>
    <t>Q1 2025</t>
  </si>
  <si>
    <t>GIS-002</t>
  </si>
  <si>
    <t>South Data Quality 02</t>
  </si>
  <si>
    <t>GIS-003</t>
  </si>
  <si>
    <t>East Field Survey 03</t>
  </si>
  <si>
    <t>GIS-004</t>
  </si>
  <si>
    <t>West Spatial Analysis 04</t>
  </si>
  <si>
    <t>Q2 2025</t>
  </si>
  <si>
    <t>GIS-005</t>
  </si>
  <si>
    <t>Central Dashboard 05</t>
  </si>
  <si>
    <t>GIS-006</t>
  </si>
  <si>
    <t>North Asset Mapping 06</t>
  </si>
  <si>
    <t>GIS-007</t>
  </si>
  <si>
    <t>South Data Quality 07</t>
  </si>
  <si>
    <t>Q3 2025</t>
  </si>
  <si>
    <t>GIS-008</t>
  </si>
  <si>
    <t>East Field Survey 08</t>
  </si>
  <si>
    <t>GIS-009</t>
  </si>
  <si>
    <t>West Spatial Analysis 09</t>
  </si>
  <si>
    <t>GIS-010</t>
  </si>
  <si>
    <t>Central Dashboard 10</t>
  </si>
  <si>
    <t>Q4 2025</t>
  </si>
  <si>
    <t>GIS-011</t>
  </si>
  <si>
    <t>North Asset Mapping 11</t>
  </si>
  <si>
    <t>GIS-012</t>
  </si>
  <si>
    <t>South Data Quality 12</t>
  </si>
  <si>
    <t>GIS-013</t>
  </si>
  <si>
    <t>East Field Survey 13</t>
  </si>
  <si>
    <t>GIS-014</t>
  </si>
  <si>
    <t>West Spatial Analysis 14</t>
  </si>
  <si>
    <t>GIS-015</t>
  </si>
  <si>
    <t>Central Dashboard 15</t>
  </si>
  <si>
    <t>GIS-016</t>
  </si>
  <si>
    <t>North Asset Mapping 16</t>
  </si>
  <si>
    <t>GIS-017</t>
  </si>
  <si>
    <t>South Data Quality 17</t>
  </si>
  <si>
    <t>GIS-018</t>
  </si>
  <si>
    <t>East Field Survey 18</t>
  </si>
  <si>
    <t>GIS-019</t>
  </si>
  <si>
    <t>West Spatial Analysis 19</t>
  </si>
  <si>
    <t>GIS-020</t>
  </si>
  <si>
    <t>Central Dashboard 20</t>
  </si>
  <si>
    <t>GIS-021</t>
  </si>
  <si>
    <t>North Asset Mapping 21</t>
  </si>
  <si>
    <t>GIS-022</t>
  </si>
  <si>
    <t>South Data Quality 22</t>
  </si>
  <si>
    <t>GIS-023</t>
  </si>
  <si>
    <t>East Field Survey 23</t>
  </si>
  <si>
    <t>GIS-024</t>
  </si>
  <si>
    <t>West Spatial Analysis 24</t>
  </si>
  <si>
    <t>GIS-025</t>
  </si>
  <si>
    <t>Central Dashboard 25</t>
  </si>
  <si>
    <t>GIS-026</t>
  </si>
  <si>
    <t>North Asset Mapping 26</t>
  </si>
  <si>
    <t>GIS-027</t>
  </si>
  <si>
    <t>South Data Quality 27</t>
  </si>
  <si>
    <t>GIS-028</t>
  </si>
  <si>
    <t>East Field Survey 28</t>
  </si>
  <si>
    <t>GIS-029</t>
  </si>
  <si>
    <t>West Spatial Analysis 29</t>
  </si>
  <si>
    <t>GIS-030</t>
  </si>
  <si>
    <t>Central Dashboard 30</t>
  </si>
  <si>
    <t>GIS-031</t>
  </si>
  <si>
    <t>North Asset Mapping 31</t>
  </si>
  <si>
    <t>GIS-032</t>
  </si>
  <si>
    <t>South Data Quality 32</t>
  </si>
  <si>
    <t>GIS-033</t>
  </si>
  <si>
    <t>East Field Survey 33</t>
  </si>
  <si>
    <t>GIS-034</t>
  </si>
  <si>
    <t>West Spatial Analysis 34</t>
  </si>
  <si>
    <t>GIS-035</t>
  </si>
  <si>
    <t>Central Dashboard 35</t>
  </si>
  <si>
    <t>GIS-036</t>
  </si>
  <si>
    <t>North Asset Mapping 36</t>
  </si>
  <si>
    <t>GIS-037</t>
  </si>
  <si>
    <t>South Data Quality 37</t>
  </si>
  <si>
    <t>GIS-038</t>
  </si>
  <si>
    <t>East Field Survey 38</t>
  </si>
  <si>
    <t>GIS-039</t>
  </si>
  <si>
    <t>West Spatial Analysis 39</t>
  </si>
  <si>
    <t>GIS-040</t>
  </si>
  <si>
    <t>Central Dashboard 40</t>
  </si>
  <si>
    <t>GIS-041</t>
  </si>
  <si>
    <t>North Asset Mapping 41</t>
  </si>
  <si>
    <t>GIS-042</t>
  </si>
  <si>
    <t>South Data Quality 42</t>
  </si>
  <si>
    <t>GIS-043</t>
  </si>
  <si>
    <t>East Field Survey 43</t>
  </si>
  <si>
    <t>GIS-044</t>
  </si>
  <si>
    <t>West Spatial Analysis 44</t>
  </si>
  <si>
    <t>GIS-045</t>
  </si>
  <si>
    <t>Central Dashboard 45</t>
  </si>
  <si>
    <t>GIS-046</t>
  </si>
  <si>
    <t>North Asset Mapping 46</t>
  </si>
  <si>
    <t>GIS-047</t>
  </si>
  <si>
    <t>South Data Quality 47</t>
  </si>
  <si>
    <t>GIS-048</t>
  </si>
  <si>
    <t>East Field Survey 48</t>
  </si>
  <si>
    <t>GIS-049</t>
  </si>
  <si>
    <t>West Spatial Analysis 49</t>
  </si>
  <si>
    <t>GIS-050</t>
  </si>
  <si>
    <t>Central Dashboard 50</t>
  </si>
  <si>
    <t>GIS-051</t>
  </si>
  <si>
    <t>North Asset Mapping 51</t>
  </si>
  <si>
    <t>GIS-052</t>
  </si>
  <si>
    <t>South Data Quality 52</t>
  </si>
  <si>
    <t>GIS-053</t>
  </si>
  <si>
    <t>East Field Survey 53</t>
  </si>
  <si>
    <t>GIS-054</t>
  </si>
  <si>
    <t>West Spatial Analysis 54</t>
  </si>
  <si>
    <t>GIS-055</t>
  </si>
  <si>
    <t>Central Dashboard 55</t>
  </si>
  <si>
    <t>GIS-056</t>
  </si>
  <si>
    <t>North Asset Mapping 56</t>
  </si>
  <si>
    <t>GIS-057</t>
  </si>
  <si>
    <t>South Data Quality 57</t>
  </si>
  <si>
    <t>GIS-058</t>
  </si>
  <si>
    <t>East Field Survey 58</t>
  </si>
  <si>
    <t>GIS-059</t>
  </si>
  <si>
    <t>West Spatial Analysis 59</t>
  </si>
  <si>
    <t>GIS-060</t>
  </si>
  <si>
    <t>Central Dashboard 60</t>
  </si>
  <si>
    <t>GIS-061</t>
  </si>
  <si>
    <t>North Asset Mapping 61</t>
  </si>
  <si>
    <t>Q1 2026</t>
  </si>
  <si>
    <t>GIS-062</t>
  </si>
  <si>
    <t>South Data Quality 62</t>
  </si>
  <si>
    <t>GIS-063</t>
  </si>
  <si>
    <t>East Field Survey 63</t>
  </si>
  <si>
    <t>GIS-064</t>
  </si>
  <si>
    <t>West Spatial Analysis 64</t>
  </si>
  <si>
    <t>Q2 2026</t>
  </si>
  <si>
    <t>GIS-065</t>
  </si>
  <si>
    <t>Central Dashboard 65</t>
  </si>
  <si>
    <t>GIS-066</t>
  </si>
  <si>
    <t>North Asset Mapping 66</t>
  </si>
  <si>
    <t>GIS-067</t>
  </si>
  <si>
    <t>South Data Quality 67</t>
  </si>
  <si>
    <t>Q3 2026</t>
  </si>
  <si>
    <t>GIS-068</t>
  </si>
  <si>
    <t>East Field Survey 68</t>
  </si>
  <si>
    <t>GIS-069</t>
  </si>
  <si>
    <t>West Spatial Analysis 69</t>
  </si>
  <si>
    <t>GIS-070</t>
  </si>
  <si>
    <t>Central Dashboard 70</t>
  </si>
  <si>
    <t>Q4 2026</t>
  </si>
  <si>
    <t>GIS-071</t>
  </si>
  <si>
    <t>North Asset Mapping 71</t>
  </si>
  <si>
    <t>GIS-072</t>
  </si>
  <si>
    <t>South Data Quality 72</t>
  </si>
  <si>
    <t>GIS-073</t>
  </si>
  <si>
    <t>East Field Survey 73</t>
  </si>
  <si>
    <t>GIS-074</t>
  </si>
  <si>
    <t>West Spatial Analysis 74</t>
  </si>
  <si>
    <t>GIS-075</t>
  </si>
  <si>
    <t>Central Dashboard 75</t>
  </si>
  <si>
    <t>GIS-076</t>
  </si>
  <si>
    <t>North Asset Mapping 76</t>
  </si>
  <si>
    <t>GIS-077</t>
  </si>
  <si>
    <t>South Data Quality 77</t>
  </si>
  <si>
    <t>GIS-078</t>
  </si>
  <si>
    <t>East Field Survey 78</t>
  </si>
  <si>
    <t>GIS-079</t>
  </si>
  <si>
    <t>West Spatial Analysis 79</t>
  </si>
  <si>
    <t>GIS-080</t>
  </si>
  <si>
    <t>Central Dashboard 80</t>
  </si>
  <si>
    <t>GIS-081</t>
  </si>
  <si>
    <t>North Asset Mapping 81</t>
  </si>
  <si>
    <t>GIS-082</t>
  </si>
  <si>
    <t>South Data Quality 82</t>
  </si>
  <si>
    <t>GIS-083</t>
  </si>
  <si>
    <t>East Field Survey 83</t>
  </si>
  <si>
    <t>GIS-084</t>
  </si>
  <si>
    <t>West Spatial Analysis 84</t>
  </si>
  <si>
    <t>GIS-085</t>
  </si>
  <si>
    <t>Central Dashboard 85</t>
  </si>
  <si>
    <t>GIS-086</t>
  </si>
  <si>
    <t>North Asset Mapping 86</t>
  </si>
  <si>
    <t>GIS-087</t>
  </si>
  <si>
    <t>South Data Quality 87</t>
  </si>
  <si>
    <t>GIS-088</t>
  </si>
  <si>
    <t>East Field Survey 88</t>
  </si>
  <si>
    <t>GIS-089</t>
  </si>
  <si>
    <t>West Spatial Analysis 89</t>
  </si>
  <si>
    <t>GIS-090</t>
  </si>
  <si>
    <t>Central Dashboard 90</t>
  </si>
  <si>
    <t>GIS-091</t>
  </si>
  <si>
    <t>North Asset Mapping 91</t>
  </si>
  <si>
    <t>GIS-092</t>
  </si>
  <si>
    <t>South Data Quality 92</t>
  </si>
  <si>
    <t>GIS-093</t>
  </si>
  <si>
    <t>East Field Survey 93</t>
  </si>
  <si>
    <t>GIS-094</t>
  </si>
  <si>
    <t>West Spatial Analysis 94</t>
  </si>
  <si>
    <t>GIS-095</t>
  </si>
  <si>
    <t>Central Dashboard 95</t>
  </si>
  <si>
    <t>GIS-096</t>
  </si>
  <si>
    <t>North Asset Mapping 96</t>
  </si>
  <si>
    <t>GIS-097</t>
  </si>
  <si>
    <t>South Data Quality 97</t>
  </si>
  <si>
    <t>GIS-098</t>
  </si>
  <si>
    <t>East Field Survey 98</t>
  </si>
  <si>
    <t>GIS-099</t>
  </si>
  <si>
    <t>West Spatial Analysis 99</t>
  </si>
  <si>
    <t>GIS-100</t>
  </si>
  <si>
    <t>Central Dashboard 100</t>
  </si>
  <si>
    <t>GIS-101</t>
  </si>
  <si>
    <t>North Asset Mapping 101</t>
  </si>
  <si>
    <t>GIS-102</t>
  </si>
  <si>
    <t>South Data Quality 102</t>
  </si>
  <si>
    <t>GIS-103</t>
  </si>
  <si>
    <t>East Field Survey 103</t>
  </si>
  <si>
    <t>GIS-104</t>
  </si>
  <si>
    <t>West Spatial Analysis 104</t>
  </si>
  <si>
    <t>GIS-105</t>
  </si>
  <si>
    <t>Central Dashboard 105</t>
  </si>
  <si>
    <t>GIS-106</t>
  </si>
  <si>
    <t>North Asset Mapping 106</t>
  </si>
  <si>
    <t>GIS-107</t>
  </si>
  <si>
    <t>South Data Quality 107</t>
  </si>
  <si>
    <t>GIS-108</t>
  </si>
  <si>
    <t>East Field Survey 108</t>
  </si>
  <si>
    <t>GIS-109</t>
  </si>
  <si>
    <t>West Spatial Analysis 109</t>
  </si>
  <si>
    <t>GIS-110</t>
  </si>
  <si>
    <t>Central Dashboard 110</t>
  </si>
  <si>
    <t>GIS-111</t>
  </si>
  <si>
    <t>North Asset Mapping 111</t>
  </si>
  <si>
    <t>GIS-112</t>
  </si>
  <si>
    <t>South Data Quality 112</t>
  </si>
  <si>
    <t>GIS-113</t>
  </si>
  <si>
    <t>East Field Survey 113</t>
  </si>
  <si>
    <t>GIS-114</t>
  </si>
  <si>
    <t>West Spatial Analysis 114</t>
  </si>
  <si>
    <t>GIS-115</t>
  </si>
  <si>
    <t>Central Dashboard 115</t>
  </si>
  <si>
    <t>GIS-116</t>
  </si>
  <si>
    <t>North Asset Mapping 116</t>
  </si>
  <si>
    <t>GIS-117</t>
  </si>
  <si>
    <t>South Data Quality 117</t>
  </si>
  <si>
    <t>GIS-118</t>
  </si>
  <si>
    <t>East Field Survey 118</t>
  </si>
  <si>
    <t>GIS-119</t>
  </si>
  <si>
    <t>West Spatial Analysis 119</t>
  </si>
  <si>
    <t>GIS-120</t>
  </si>
  <si>
    <t>Central Dashboard 120</t>
  </si>
  <si>
    <t xml:space="preserve"> </t>
  </si>
  <si>
    <t>## Project Structure</t>
  </si>
  <si>
    <t>Copy the text below into README.md when publishing this workbook repository</t>
  </si>
  <si>
    <t>```text</t>
  </si>
  <si>
    <t>Excel-Advanced-Analytics-Dashboard/</t>
  </si>
  <si>
    <t># Advanced Excel &amp; GIS Project Showcase — Naman Kumar</t>
  </si>
  <si>
    <t>│</t>
  </si>
  <si>
    <t>├── README.md</t>
  </si>
  <si>
    <t>## Overview</t>
  </si>
  <si>
    <t>This project demonstrates advanced Microsoft Excel techniques for data analysis, reporting, dashboard development, business intelligence, and workflow automation.</t>
  </si>
  <si>
    <t>├── Workbook/</t>
  </si>
  <si>
    <t>The workbook simulates a real-world business environment by combining project management, financial tracking, GIS operations, team leadership reporting, risk management, and executive-level dashboarding into a single analytical solution.</t>
  </si>
  <si>
    <t>│   └── Excel Advance.xlsx</t>
  </si>
  <si>
    <t>It showcases how Excel can be used as a powerful business intelligence tool for decision-making and performance monitoring.</t>
  </si>
  <si>
    <t>---</t>
  </si>
  <si>
    <t>├── Screenshots/</t>
  </si>
  <si>
    <t>## Project Objectives</t>
  </si>
  <si>
    <t>│   ├── Dashboard.png</t>
  </si>
  <si>
    <t>- Build an executive dashboard for project monitoring</t>
  </si>
  <si>
    <t>│   ├── Business-Insights.png</t>
  </si>
  <si>
    <t>- Analyze project performance and financial metrics</t>
  </si>
  <si>
    <t>│   ├── GIS-Projects.png</t>
  </si>
  <si>
    <t>- Track GIS project delivery and operational KPIs</t>
  </si>
  <si>
    <t>│   ├── Team-Leadership.png</t>
  </si>
  <si>
    <t>- Monitor risks and resource utilization</t>
  </si>
  <si>
    <t>│   ├── Pivot-Analysis.png</t>
  </si>
  <si>
    <t>- Demonstrate advanced Excel formulas and automation</t>
  </si>
  <si>
    <t>│   └── Automation.png</t>
  </si>
  <si>
    <t>- Create professional business reports and visualizations</t>
  </si>
  <si>
    <t>├── Documentation/</t>
  </si>
  <si>
    <t>## Skills Demonstrated</t>
  </si>
  <si>
    <t>│   ├── Project-Overview.pdf</t>
  </si>
  <si>
    <t>### Advanced Formulas</t>
  </si>
  <si>
    <t>│   ├── Formula-Guide.pdf</t>
  </si>
  <si>
    <t>- XLOOKUP</t>
  </si>
  <si>
    <t>│   └── Dashboard-Notes.pdf</t>
  </si>
  <si>
    <t>- INDEX + MATCH</t>
  </si>
  <si>
    <t>- FILTER</t>
  </si>
  <si>
    <t>└── Assets/</t>
  </si>
  <si>
    <t>- LET</t>
  </si>
  <si>
    <t>    └── Project-Banner.png</t>
  </si>
  <si>
    <t>- SUMIFS</t>
  </si>
  <si>
    <t>```</t>
  </si>
  <si>
    <t>- COUNTIFS</t>
  </si>
  <si>
    <t>- IFERROR</t>
  </si>
  <si>
    <t>- Dynamic Array Functions</t>
  </si>
  <si>
    <t>- Structured References</t>
  </si>
  <si>
    <t>### Data Analysis</t>
  </si>
  <si>
    <t>- Pivot Tables</t>
  </si>
  <si>
    <t>- Pivot Charts</t>
  </si>
  <si>
    <t>- KPI Tracking</t>
  </si>
  <si>
    <t>- Trend Analysis</t>
  </si>
  <si>
    <t>- Performance Metrics</t>
  </si>
  <si>
    <t>- Financial Analysis</t>
  </si>
  <si>
    <t>### Dashboard Development</t>
  </si>
  <si>
    <t>- Interactive Dashboard</t>
  </si>
  <si>
    <t>- Executive Reporting</t>
  </si>
  <si>
    <t>- Dynamic Charts</t>
  </si>
  <si>
    <t>- KPI Cards</t>
  </si>
  <si>
    <t>- Performance Indicators</t>
  </si>
  <si>
    <t>- Conditional Formatting</t>
  </si>
  <si>
    <t>### Business Intelligence</t>
  </si>
  <si>
    <t>- Budget Monitoring</t>
  </si>
  <si>
    <t>- Risk Assessment</t>
  </si>
  <si>
    <t>- Project Tracking</t>
  </si>
  <si>
    <t>- Team Performance Analysis</t>
  </si>
  <si>
    <t>- Resource Management</t>
  </si>
  <si>
    <t>- Management Reporting</t>
  </si>
  <si>
    <t>### Automation</t>
  </si>
  <si>
    <t>- Office Scripts</t>
  </si>
  <si>
    <t>- Automated Reporting Examples</t>
  </si>
  <si>
    <t>- Data Processing Workflows</t>
  </si>
  <si>
    <t>## Workbook Structure</t>
  </si>
  <si>
    <t>### Dashboard</t>
  </si>
  <si>
    <t>Executive-level dashboard providing a summary of project status, financial metrics, performance indicators, and operational insights.</t>
  </si>
  <si>
    <t>### Business Insights</t>
  </si>
  <si>
    <t>Analysis of trends, key drivers, and business performance metrics used for decision-making.</t>
  </si>
  <si>
    <t>### GIS Projects</t>
  </si>
  <si>
    <t>Tracking and analysis of GIS-related projects, capabilities, risks, completion percentages, and operational performance.</t>
  </si>
  <si>
    <t>### Team Leadership</t>
  </si>
  <si>
    <t>Monitoring team performance, management responsibilities, workload distribution, and project ownership.</t>
  </si>
  <si>
    <t>Collection of advanced Excel formula examples demonstrating modern Microsoft 365 capabilities.</t>
  </si>
  <si>
    <t>### Pivot Analysis</t>
  </si>
  <si>
    <t>Interactive reporting using Pivot Tables and Pivot Charts.</t>
  </si>
  <si>
    <t>### Chart Gallery</t>
  </si>
  <si>
    <t>Examples of professional chart types and data visualization techniques.</t>
  </si>
  <si>
    <t>Office Script examples and automation workflows.</t>
  </si>
  <si>
    <t>### Data Source</t>
  </si>
  <si>
    <t>Structured dataset used throughout the workbook for reporting and analysis.</t>
  </si>
  <si>
    <t>## Key Features</t>
  </si>
  <si>
    <t>✅ Executive Dashboard</t>
  </si>
  <si>
    <t>✅ Advanced Excel Formulas</t>
  </si>
  <si>
    <t>✅ Dynamic Reporting</t>
  </si>
  <si>
    <t>✅ Pivot Table Analysis</t>
  </si>
  <si>
    <t>✅ Financial KPI Monitoring</t>
  </si>
  <si>
    <t>✅ GIS Project Analytics</t>
  </si>
  <si>
    <t>✅ Team Leadership Dashboard</t>
  </si>
  <si>
    <t>✅ Risk Assessment Tracking</t>
  </si>
  <si>
    <t>✅ Office Script Automation</t>
  </si>
  <si>
    <t>✅ Professional Workbook Documentation</t>
  </si>
  <si>
    <t>## Business Questions Answered</t>
  </si>
  <si>
    <t>The workbook helps answer questions such as:</t>
  </si>
  <si>
    <t>- Which projects generate the highest value?</t>
  </si>
  <si>
    <t>- Which projects have the greatest delivery risks?</t>
  </si>
  <si>
    <t>- How efficiently are budgets being utilized?</t>
  </si>
  <si>
    <t>- Which managers oversee the most project value?</t>
  </si>
  <si>
    <t>- What is the overall completion status of project portfolios?</t>
  </si>
  <si>
    <t>- How is team workload distributed?</t>
  </si>
  <si>
    <t>## Tools Used</t>
  </si>
  <si>
    <t>- Microsoft Excel 365</t>
  </si>
  <si>
    <t>- Dynamic Arrays</t>
  </si>
  <si>
    <t>- Data Visualization Techniques</t>
  </si>
  <si>
    <t>- Dashboard Design Principles</t>
  </si>
  <si>
    <t>### Executive Dashboard</t>
  </si>
  <si>
    <t>_Add screenshot here_</t>
  </si>
  <si>
    <t>### GIS Project Dashboard</t>
  </si>
  <si>
    <t>### Team Leadership Dashboard</t>
  </si>
  <si>
    <t>## Learning Outcomes</t>
  </si>
  <si>
    <t>Through this project, I strengthened my skills in:</t>
  </si>
  <si>
    <t>- Advanced Excel analytics</t>
  </si>
  <si>
    <t>- Dashboard development</t>
  </si>
  <si>
    <t>- Business reporting</t>
  </si>
  <si>
    <t>- Data storytelling</t>
  </si>
  <si>
    <t>- KPI design</t>
  </si>
  <si>
    <t>- Automation with Office Scripts</t>
  </si>
  <si>
    <t>- GIS-oriented project analysis</t>
  </si>
  <si>
    <t>## About the Author</t>
  </si>
  <si>
    <t>This project was created as part of my continuous learning journey in:</t>
  </si>
  <si>
    <t>- Advanced Excel</t>
  </si>
  <si>
    <t>- Data Analytics</t>
  </si>
  <si>
    <t>- Business Intelligence</t>
  </si>
  <si>
    <t>- GIS Operations</t>
  </si>
  <si>
    <t>- Reporting &amp; Dashboard Development</t>
  </si>
  <si>
    <t>I enjoy solving real-world business problems through data analysis, process improvement, and automation.</t>
  </si>
  <si>
    <t>## Future Enhancements</t>
  </si>
  <si>
    <t>- Power Query integration</t>
  </si>
  <si>
    <t>- Data Model implementation</t>
  </si>
  <si>
    <t>- Power Pivot measures</t>
  </si>
  <si>
    <t>- Automated report refresh</t>
  </si>
  <si>
    <t>- Additional executive dashboards</t>
  </si>
  <si>
    <t>- Enhanced automation workflows</t>
  </si>
  <si>
    <t>## License</t>
  </si>
  <si>
    <t>This project is intended for learning, portfolio, and demonstration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</si>
</sst>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quot;$&quot;#,##0"/>
    <numFmt numFmtId="166" formatCode="0.0000"/>
    <numFmt numFmtId="167" formatCode="&quot;$&quot;#,##0;[Red]\-&quot;$&quot;#,##0"/>
    <numFmt numFmtId="168" formatCode="0.00\x"/>
    <numFmt numFmtId="169" formatCode="0.0"/>
  </numFmts>
  <fonts count="32">
    <font>
      <sz val="11"/>
      <color theme="1"/>
      <name val="Calibri"/>
      <family val="2"/>
      <scheme val="minor"/>
    </font>
    <font>
      <b/>
      <sz val="11"/>
      <color theme="1"/>
      <name val="Calibri"/>
      <family val="2"/>
      <scheme val="minor"/>
    </font>
    <font>
      <b/>
      <sz val="11"/>
      <color rgb="FFFFFFFF"/>
      <name val="Calibri"/>
      <family val="2"/>
      <scheme val="minor"/>
    </font>
    <font>
      <b/>
      <sz val="18"/>
      <color rgb="FFFFFFFF"/>
      <name val="Calibri"/>
      <family val="2"/>
      <scheme val="minor"/>
    </font>
    <font>
      <i/>
      <sz val="11"/>
      <color theme="1"/>
      <name val="Calibri"/>
      <family val="2"/>
      <scheme val="minor"/>
    </font>
    <font>
      <i/>
      <sz val="11"/>
      <color rgb="FF666666"/>
      <name val="Calibri"/>
      <family val="2"/>
      <scheme val="minor"/>
    </font>
    <font>
      <b/>
      <sz val="24"/>
      <color rgb="FFFFFFFF"/>
      <name val="Calibri"/>
      <family val="2"/>
      <scheme val="minor"/>
    </font>
    <font>
      <b/>
      <sz val="11"/>
      <color rgb="FF1F4E78"/>
      <name val="Calibri"/>
      <family val="2"/>
      <scheme val="minor"/>
    </font>
    <font>
      <b/>
      <sz val="20"/>
      <color theme="1"/>
      <name val="Calibri"/>
      <family val="2"/>
      <scheme val="minor"/>
    </font>
    <font>
      <b/>
      <sz val="14"/>
      <color theme="1"/>
      <name val="Calibri"/>
      <family val="2"/>
      <scheme val="minor"/>
    </font>
    <font>
      <b/>
      <sz val="11"/>
      <color rgb="FF7F6000"/>
      <name val="Calibri"/>
      <family val="2"/>
      <scheme val="minor"/>
    </font>
    <font>
      <i/>
      <sz val="12"/>
      <color rgb="FFFF0000"/>
      <name val="Calibri"/>
      <family val="2"/>
      <scheme val="minor"/>
    </font>
    <font>
      <b/>
      <sz val="11"/>
      <color rgb="FF17365D"/>
      <name val="Calibri"/>
      <family val="2"/>
      <scheme val="minor"/>
    </font>
    <font>
      <b/>
      <sz val="11"/>
      <color theme="0"/>
      <name val="Calibri"/>
      <family val="2"/>
      <scheme val="minor"/>
    </font>
    <font>
      <b/>
      <sz val="16"/>
      <color theme="1"/>
      <name val="Calibri"/>
      <family val="2"/>
      <scheme val="minor"/>
    </font>
    <font>
      <b/>
      <sz val="12"/>
      <color theme="0"/>
      <name val="Calibri"/>
      <family val="2"/>
      <scheme val="minor"/>
    </font>
    <font>
      <b/>
      <sz val="12"/>
      <color theme="1"/>
      <name val="Calibri"/>
      <family val="2"/>
      <scheme val="minor"/>
    </font>
    <font>
      <i/>
      <sz val="11"/>
      <color rgb="FFFF0000"/>
      <name val="Calibri"/>
      <family val="2"/>
      <scheme val="minor"/>
    </font>
    <font>
      <b/>
      <sz val="12"/>
      <color rgb="FF000000"/>
      <name val="Calibri"/>
      <family val="2"/>
    </font>
    <font>
      <sz val="11"/>
      <color rgb="FF000000"/>
      <name val="Calibri"/>
      <family val="2"/>
    </font>
    <font>
      <b/>
      <sz val="12"/>
      <color rgb="FFFF0000"/>
      <name val="Calibri"/>
    </font>
    <font>
      <b/>
      <sz val="12"/>
      <color rgb="FF7030A0"/>
      <name val="Calibri"/>
      <family val="2"/>
    </font>
    <font>
      <b/>
      <sz val="16"/>
      <color theme="0"/>
      <name val="Calibri"/>
      <family val="2"/>
      <scheme val="minor"/>
    </font>
    <font>
      <b/>
      <sz val="10"/>
      <color theme="1"/>
      <name val="Calibri"/>
      <family val="2"/>
      <scheme val="minor"/>
    </font>
    <font>
      <i/>
      <sz val="11"/>
      <color rgb="FF000000"/>
      <name val="Calibri"/>
      <family val="2"/>
      <scheme val="minor"/>
    </font>
    <font>
      <b/>
      <i/>
      <sz val="11"/>
      <color rgb="FF7030A0"/>
      <name val="Calibri"/>
      <family val="2"/>
      <scheme val="minor"/>
    </font>
    <font>
      <i/>
      <sz val="10"/>
      <color theme="1"/>
      <name val="Calibri"/>
      <family val="2"/>
      <scheme val="minor"/>
    </font>
    <font>
      <sz val="12"/>
      <color theme="1"/>
      <name val="Calibri"/>
      <family val="2"/>
      <scheme val="minor"/>
    </font>
    <font>
      <sz val="11"/>
      <color rgb="FFFFFFFF"/>
      <name val="Calibri"/>
      <family val="2"/>
      <scheme val="minor"/>
    </font>
    <font>
      <sz val="9"/>
      <color rgb="FF203040"/>
      <name val="Consolas"/>
    </font>
    <font>
      <sz val="14"/>
      <color rgb="FFFF0000"/>
      <name val="Calibri"/>
      <family val="2"/>
      <scheme val="minor"/>
    </font>
    <font>
      <sz val="16"/>
      <color rgb="FFFF0000"/>
      <name val="Calibri"/>
      <family val="2"/>
      <scheme val="minor"/>
    </font>
  </fonts>
  <fills count="43">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2E75B6"/>
        <bgColor indexed="64"/>
      </patternFill>
    </fill>
    <fill>
      <patternFill patternType="solid">
        <fgColor rgb="FFD9EAF7"/>
        <bgColor indexed="64"/>
      </patternFill>
    </fill>
    <fill>
      <patternFill patternType="solid">
        <fgColor rgb="FFEAF2F8"/>
        <bgColor indexed="64"/>
      </patternFill>
    </fill>
    <fill>
      <patternFill patternType="solid">
        <fgColor rgb="FFF3F6F9"/>
        <bgColor indexed="64"/>
      </patternFill>
    </fill>
    <fill>
      <patternFill patternType="solid">
        <fgColor rgb="FF70AD47"/>
        <bgColor indexed="64"/>
      </patternFill>
    </fill>
    <fill>
      <patternFill patternType="solid">
        <fgColor rgb="FFFFF2CC"/>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CCE6E0"/>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9"/>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rgb="FFF8CBAD"/>
        <bgColor rgb="FF000000"/>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rgb="FFD5EDE4"/>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A6CAE0"/>
        <bgColor indexed="64"/>
      </patternFill>
    </fill>
    <fill>
      <patternFill patternType="solid">
        <fgColor theme="9" tint="-0.49998474074526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EAF2E6"/>
        <bgColor indexed="64"/>
      </patternFill>
    </fill>
    <fill>
      <patternFill patternType="solid">
        <fgColor theme="3" tint="0.59999389629810485"/>
        <bgColor indexed="64"/>
      </patternFill>
    </fill>
    <fill>
      <patternFill patternType="solid">
        <fgColor rgb="FF0F6B78"/>
        <bgColor indexed="64"/>
      </patternFill>
    </fill>
    <fill>
      <patternFill patternType="solid">
        <fgColor rgb="FFF4F7FA"/>
        <bgColor indexed="64"/>
      </patternFill>
    </fill>
    <fill>
      <patternFill patternType="solid">
        <fgColor theme="8" tint="0.79998168889431442"/>
        <bgColor indexed="64"/>
      </patternFill>
    </fill>
  </fills>
  <borders count="92">
    <border>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rgb="FFDCDE78"/>
      </left>
      <right/>
      <top style="thin">
        <color rgb="FFDCDE78"/>
      </top>
      <bottom style="thin">
        <color rgb="FFDCDE78"/>
      </bottom>
      <diagonal/>
    </border>
    <border>
      <left/>
      <right/>
      <top style="thin">
        <color rgb="FFDCDE78"/>
      </top>
      <bottom style="thin">
        <color rgb="FFDCDE78"/>
      </bottom>
      <diagonal/>
    </border>
    <border>
      <left/>
      <right style="thin">
        <color rgb="FFDCDE78"/>
      </right>
      <top style="thin">
        <color rgb="FFDCDE78"/>
      </top>
      <bottom style="thin">
        <color rgb="FFDCDE78"/>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theme="0"/>
      </right>
      <top style="thin">
        <color rgb="FF000000"/>
      </top>
      <bottom style="thin">
        <color rgb="FF000000"/>
      </bottom>
      <diagonal/>
    </border>
    <border>
      <left style="thin">
        <color theme="0"/>
      </left>
      <right style="thin">
        <color rgb="FF000000"/>
      </right>
      <top style="thin">
        <color rgb="FF000000"/>
      </top>
      <bottom style="thin">
        <color rgb="FF000000"/>
      </bottom>
      <diagonal/>
    </border>
    <border>
      <left/>
      <right/>
      <top style="thin">
        <color theme="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rgb="FF000000"/>
      </left>
      <right style="thin">
        <color rgb="FF000000"/>
      </right>
      <top/>
      <bottom style="thin">
        <color rgb="FF000000"/>
      </bottom>
      <diagonal/>
    </border>
    <border>
      <left style="medium">
        <color theme="4"/>
      </left>
      <right style="thin">
        <color rgb="FF000000"/>
      </right>
      <top style="medium">
        <color theme="4"/>
      </top>
      <bottom style="thin">
        <color rgb="FF000000"/>
      </bottom>
      <diagonal/>
    </border>
    <border>
      <left style="thin">
        <color rgb="FF000000"/>
      </left>
      <right style="thin">
        <color rgb="FF000000"/>
      </right>
      <top style="medium">
        <color theme="4"/>
      </top>
      <bottom style="thin">
        <color rgb="FF000000"/>
      </bottom>
      <diagonal/>
    </border>
    <border>
      <left style="thin">
        <color rgb="FF000000"/>
      </left>
      <right style="medium">
        <color theme="4"/>
      </right>
      <top style="medium">
        <color theme="4"/>
      </top>
      <bottom style="thin">
        <color rgb="FF000000"/>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style="thin">
        <color theme="4" tint="-0.249977111117893"/>
      </right>
      <top style="medium">
        <color rgb="FF000000"/>
      </top>
      <bottom style="medium">
        <color rgb="FF000000"/>
      </bottom>
      <diagonal/>
    </border>
    <border>
      <left style="thin">
        <color theme="4" tint="-0.249977111117893"/>
      </left>
      <right style="medium">
        <color rgb="FF000000"/>
      </right>
      <top style="medium">
        <color rgb="FF000000"/>
      </top>
      <bottom style="medium">
        <color rgb="FF000000"/>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medium">
        <color theme="7" tint="-0.249977111117893"/>
      </left>
      <right style="thin">
        <color theme="7" tint="-0.249977111117893"/>
      </right>
      <top style="medium">
        <color theme="7" tint="-0.249977111117893"/>
      </top>
      <bottom style="thin">
        <color theme="7" tint="-0.249977111117893"/>
      </bottom>
      <diagonal/>
    </border>
    <border>
      <left style="thin">
        <color theme="7" tint="-0.249977111117893"/>
      </left>
      <right style="thin">
        <color theme="7" tint="-0.249977111117893"/>
      </right>
      <top style="medium">
        <color theme="7" tint="-0.249977111117893"/>
      </top>
      <bottom style="thin">
        <color theme="7" tint="-0.249977111117893"/>
      </bottom>
      <diagonal/>
    </border>
    <border>
      <left style="thin">
        <color theme="7" tint="-0.249977111117893"/>
      </left>
      <right style="medium">
        <color theme="7" tint="-0.249977111117893"/>
      </right>
      <top style="medium">
        <color theme="7" tint="-0.249977111117893"/>
      </top>
      <bottom style="thin">
        <color theme="7" tint="-0.249977111117893"/>
      </bottom>
      <diagonal/>
    </border>
    <border>
      <left style="medium">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style="medium">
        <color theme="7" tint="-0.249977111117893"/>
      </right>
      <top style="thin">
        <color theme="7" tint="-0.249977111117893"/>
      </top>
      <bottom style="thin">
        <color theme="7" tint="-0.249977111117893"/>
      </bottom>
      <diagonal/>
    </border>
    <border>
      <left style="medium">
        <color theme="7" tint="-0.249977111117893"/>
      </left>
      <right style="thin">
        <color theme="7" tint="-0.249977111117893"/>
      </right>
      <top style="thin">
        <color theme="7" tint="-0.249977111117893"/>
      </top>
      <bottom style="medium">
        <color theme="7" tint="-0.249977111117893"/>
      </bottom>
      <diagonal/>
    </border>
    <border>
      <left style="thin">
        <color theme="7" tint="-0.249977111117893"/>
      </left>
      <right style="thin">
        <color theme="7" tint="-0.249977111117893"/>
      </right>
      <top style="thin">
        <color theme="7" tint="-0.249977111117893"/>
      </top>
      <bottom style="medium">
        <color theme="7" tint="-0.249977111117893"/>
      </bottom>
      <diagonal/>
    </border>
    <border>
      <left style="thin">
        <color theme="7" tint="-0.249977111117893"/>
      </left>
      <right style="medium">
        <color theme="7" tint="-0.249977111117893"/>
      </right>
      <top style="thin">
        <color theme="7" tint="-0.249977111117893"/>
      </top>
      <bottom style="medium">
        <color theme="7" tint="-0.249977111117893"/>
      </bottom>
      <diagonal/>
    </border>
    <border>
      <left style="medium">
        <color theme="7" tint="-0.249977111117893"/>
      </left>
      <right/>
      <top style="medium">
        <color theme="7" tint="-0.249977111117893"/>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medium">
        <color rgb="FF000000"/>
      </top>
      <bottom style="medium">
        <color rgb="FF000000"/>
      </bottom>
      <diagonal/>
    </border>
    <border>
      <left/>
      <right/>
      <top style="thin">
        <color rgb="FF000000"/>
      </top>
      <bottom/>
      <diagonal/>
    </border>
  </borders>
  <cellStyleXfs count="1">
    <xf numFmtId="0" fontId="0" fillId="0" borderId="0"/>
  </cellStyleXfs>
  <cellXfs count="254">
    <xf numFmtId="0" fontId="0" fillId="0" borderId="0" xfId="0"/>
    <xf numFmtId="164" fontId="0" fillId="0" borderId="0" xfId="0" applyNumberFormat="1"/>
    <xf numFmtId="165" fontId="0" fillId="0" borderId="0" xfId="0" applyNumberFormat="1"/>
    <xf numFmtId="3" fontId="0" fillId="0" borderId="0" xfId="0" applyNumberFormat="1"/>
    <xf numFmtId="9" fontId="0" fillId="0" borderId="0" xfId="0" applyNumberFormat="1"/>
    <xf numFmtId="1" fontId="0" fillId="0" borderId="0" xfId="0" applyNumberFormat="1"/>
    <xf numFmtId="166" fontId="0" fillId="0" borderId="0" xfId="0" applyNumberFormat="1"/>
    <xf numFmtId="0" fontId="2" fillId="2" borderId="0" xfId="0" applyFont="1" applyFill="1"/>
    <xf numFmtId="169" fontId="0" fillId="0" borderId="0" xfId="0" applyNumberFormat="1"/>
    <xf numFmtId="0" fontId="0" fillId="0" borderId="1" xfId="0" applyBorder="1"/>
    <xf numFmtId="0" fontId="0" fillId="0" borderId="2" xfId="0" applyBorder="1"/>
    <xf numFmtId="0" fontId="0" fillId="0" borderId="3" xfId="0" applyBorder="1"/>
    <xf numFmtId="0" fontId="2" fillId="2" borderId="1" xfId="0" applyFont="1" applyFill="1" applyBorder="1"/>
    <xf numFmtId="0" fontId="0" fillId="0" borderId="15" xfId="0" applyBorder="1"/>
    <xf numFmtId="0" fontId="1" fillId="11" borderId="15" xfId="0" applyFont="1" applyFill="1" applyBorder="1"/>
    <xf numFmtId="0" fontId="1" fillId="11" borderId="17" xfId="0" applyFont="1" applyFill="1" applyBorder="1"/>
    <xf numFmtId="0" fontId="2" fillId="13" borderId="0" xfId="0" applyFont="1" applyFill="1" applyAlignment="1">
      <alignment horizontal="center"/>
    </xf>
    <xf numFmtId="0" fontId="0" fillId="14" borderId="0" xfId="0" applyFill="1"/>
    <xf numFmtId="0" fontId="0" fillId="15" borderId="0" xfId="0" applyFill="1"/>
    <xf numFmtId="0" fontId="0" fillId="16" borderId="0" xfId="0" applyFill="1"/>
    <xf numFmtId="0" fontId="0" fillId="17" borderId="0" xfId="0" applyFill="1"/>
    <xf numFmtId="0" fontId="1" fillId="5" borderId="6" xfId="0" applyFont="1" applyFill="1" applyBorder="1" applyAlignment="1">
      <alignment vertical="center"/>
    </xf>
    <xf numFmtId="0" fontId="2" fillId="20" borderId="1" xfId="0" applyFont="1" applyFill="1" applyBorder="1"/>
    <xf numFmtId="0" fontId="14" fillId="18" borderId="20" xfId="0" applyFont="1" applyFill="1" applyBorder="1" applyAlignment="1">
      <alignment horizontal="center" vertical="center"/>
    </xf>
    <xf numFmtId="0" fontId="7" fillId="0" borderId="23" xfId="0" applyFont="1" applyBorder="1" applyAlignment="1">
      <alignment horizontal="center" vertical="center"/>
    </xf>
    <xf numFmtId="0" fontId="0" fillId="17" borderId="22" xfId="0" applyFill="1" applyBorder="1" applyAlignment="1">
      <alignment wrapText="1"/>
    </xf>
    <xf numFmtId="0" fontId="7" fillId="0" borderId="26" xfId="0" applyFont="1" applyBorder="1" applyAlignment="1">
      <alignment horizontal="center" vertical="center"/>
    </xf>
    <xf numFmtId="0" fontId="0" fillId="19" borderId="24" xfId="0" applyFill="1" applyBorder="1" applyAlignment="1">
      <alignment wrapText="1"/>
    </xf>
    <xf numFmtId="0" fontId="2" fillId="4" borderId="0" xfId="0" applyFont="1" applyFill="1"/>
    <xf numFmtId="0" fontId="0" fillId="7" borderId="11" xfId="0" applyFill="1" applyBorder="1" applyAlignment="1">
      <alignment vertical="top" wrapText="1"/>
    </xf>
    <xf numFmtId="0" fontId="12" fillId="7" borderId="11" xfId="0" applyFont="1" applyFill="1" applyBorder="1" applyAlignment="1">
      <alignment horizontal="center" vertical="center"/>
    </xf>
    <xf numFmtId="0" fontId="4" fillId="5" borderId="30" xfId="0" applyFont="1" applyFill="1" applyBorder="1" applyAlignment="1">
      <alignment wrapText="1"/>
    </xf>
    <xf numFmtId="0" fontId="0" fillId="0" borderId="31" xfId="0" applyBorder="1"/>
    <xf numFmtId="0" fontId="2" fillId="2" borderId="1" xfId="0" applyFont="1" applyFill="1" applyBorder="1" applyAlignment="1">
      <alignment horizontal="center" vertical="center"/>
    </xf>
    <xf numFmtId="0" fontId="4" fillId="5" borderId="29" xfId="0" applyFont="1" applyFill="1" applyBorder="1" applyAlignment="1">
      <alignment horizontal="center" vertical="center"/>
    </xf>
    <xf numFmtId="0" fontId="0" fillId="0" borderId="11" xfId="0" applyBorder="1"/>
    <xf numFmtId="0" fontId="0" fillId="0" borderId="35" xfId="0" applyBorder="1"/>
    <xf numFmtId="0" fontId="0" fillId="0" borderId="36" xfId="0" applyBorder="1"/>
    <xf numFmtId="0" fontId="0" fillId="0" borderId="37" xfId="0" applyBorder="1"/>
    <xf numFmtId="0" fontId="0" fillId="0" borderId="7" xfId="0" applyBorder="1"/>
    <xf numFmtId="0" fontId="0" fillId="0" borderId="5" xfId="0" applyBorder="1"/>
    <xf numFmtId="0" fontId="0" fillId="0" borderId="6" xfId="0" applyBorder="1"/>
    <xf numFmtId="0" fontId="0" fillId="0" borderId="38" xfId="0" applyBorder="1"/>
    <xf numFmtId="0" fontId="0" fillId="0" borderId="39" xfId="0" applyBorder="1"/>
    <xf numFmtId="0" fontId="0" fillId="0" borderId="4" xfId="0" applyBorder="1"/>
    <xf numFmtId="0" fontId="0" fillId="0" borderId="43" xfId="0" applyBorder="1"/>
    <xf numFmtId="0" fontId="15" fillId="21" borderId="34" xfId="0" applyFont="1" applyFill="1" applyBorder="1"/>
    <xf numFmtId="0" fontId="0" fillId="16" borderId="11" xfId="0" applyFill="1" applyBorder="1"/>
    <xf numFmtId="0" fontId="0" fillId="22" borderId="0" xfId="0" applyFill="1"/>
    <xf numFmtId="0" fontId="15" fillId="21" borderId="44" xfId="0" applyFont="1" applyFill="1" applyBorder="1"/>
    <xf numFmtId="0" fontId="15" fillId="21" borderId="45" xfId="0" applyFont="1" applyFill="1" applyBorder="1"/>
    <xf numFmtId="0" fontId="15" fillId="21" borderId="46" xfId="0" applyFont="1" applyFill="1" applyBorder="1"/>
    <xf numFmtId="0" fontId="0" fillId="22" borderId="47" xfId="0" applyFill="1" applyBorder="1"/>
    <xf numFmtId="0" fontId="0" fillId="22" borderId="48" xfId="0" applyFill="1" applyBorder="1"/>
    <xf numFmtId="0" fontId="0" fillId="16" borderId="47" xfId="0" applyFill="1" applyBorder="1"/>
    <xf numFmtId="0" fontId="0" fillId="16" borderId="48" xfId="0" applyFill="1" applyBorder="1"/>
    <xf numFmtId="0" fontId="0" fillId="16" borderId="49" xfId="0" applyFill="1" applyBorder="1"/>
    <xf numFmtId="0" fontId="0" fillId="16" borderId="50" xfId="0" applyFill="1" applyBorder="1"/>
    <xf numFmtId="0" fontId="0" fillId="16" borderId="51" xfId="0" applyFill="1" applyBorder="1"/>
    <xf numFmtId="0" fontId="0" fillId="0" borderId="25" xfId="0" applyBorder="1"/>
    <xf numFmtId="0" fontId="1" fillId="5" borderId="54" xfId="0" applyFont="1" applyFill="1" applyBorder="1" applyAlignment="1">
      <alignment vertical="center"/>
    </xf>
    <xf numFmtId="0" fontId="1" fillId="5" borderId="55" xfId="0" applyFont="1" applyFill="1" applyBorder="1" applyAlignment="1">
      <alignment horizontal="center" vertical="center"/>
    </xf>
    <xf numFmtId="0" fontId="19" fillId="0" borderId="0" xfId="0" applyFont="1"/>
    <xf numFmtId="0" fontId="18" fillId="24" borderId="57" xfId="0" applyFont="1" applyFill="1" applyBorder="1"/>
    <xf numFmtId="0" fontId="18" fillId="24" borderId="58" xfId="0" applyFont="1" applyFill="1" applyBorder="1"/>
    <xf numFmtId="0" fontId="18" fillId="24" borderId="56" xfId="0" applyFont="1" applyFill="1" applyBorder="1"/>
    <xf numFmtId="0" fontId="19" fillId="14" borderId="32" xfId="0" applyFont="1" applyFill="1" applyBorder="1" applyAlignment="1">
      <alignment horizontal="left"/>
    </xf>
    <xf numFmtId="0" fontId="19" fillId="14" borderId="15" xfId="0" applyFont="1" applyFill="1" applyBorder="1" applyAlignment="1">
      <alignment horizontal="left"/>
    </xf>
    <xf numFmtId="0" fontId="19" fillId="14" borderId="60" xfId="0" applyFont="1" applyFill="1" applyBorder="1" applyAlignment="1">
      <alignment horizontal="left"/>
    </xf>
    <xf numFmtId="0" fontId="18" fillId="24" borderId="59" xfId="0" applyFont="1" applyFill="1" applyBorder="1"/>
    <xf numFmtId="0" fontId="23" fillId="0" borderId="0" xfId="0" applyFont="1" applyAlignment="1">
      <alignment horizontal="center" vertical="top"/>
    </xf>
    <xf numFmtId="0" fontId="0" fillId="28" borderId="0" xfId="0" applyFill="1"/>
    <xf numFmtId="0" fontId="0" fillId="30" borderId="0" xfId="0" applyFill="1"/>
    <xf numFmtId="0" fontId="0" fillId="16" borderId="11" xfId="0" applyFill="1" applyBorder="1" applyAlignment="1">
      <alignment horizontal="center"/>
    </xf>
    <xf numFmtId="0" fontId="0" fillId="25" borderId="0" xfId="0" applyFill="1"/>
    <xf numFmtId="9" fontId="0" fillId="25" borderId="0" xfId="0" applyNumberFormat="1" applyFill="1" applyAlignment="1">
      <alignment horizontal="center"/>
    </xf>
    <xf numFmtId="0" fontId="0" fillId="25" borderId="0" xfId="0" applyFill="1" applyAlignment="1">
      <alignment horizontal="center"/>
    </xf>
    <xf numFmtId="165" fontId="0" fillId="16" borderId="0" xfId="0" applyNumberFormat="1" applyFill="1" applyAlignment="1">
      <alignment horizontal="center"/>
    </xf>
    <xf numFmtId="165" fontId="0" fillId="17" borderId="0" xfId="0" applyNumberFormat="1" applyFill="1" applyAlignment="1">
      <alignment horizontal="center"/>
    </xf>
    <xf numFmtId="168" fontId="0" fillId="15" borderId="0" xfId="0" applyNumberFormat="1" applyFill="1" applyAlignment="1">
      <alignment horizontal="center"/>
    </xf>
    <xf numFmtId="0" fontId="0" fillId="15" borderId="0" xfId="0" applyFill="1" applyAlignment="1">
      <alignment horizontal="center"/>
    </xf>
    <xf numFmtId="0" fontId="2" fillId="34" borderId="23" xfId="0" applyFont="1" applyFill="1" applyBorder="1" applyAlignment="1">
      <alignment horizontal="center" vertical="center"/>
    </xf>
    <xf numFmtId="0" fontId="0" fillId="31" borderId="11" xfId="0" applyFill="1" applyBorder="1"/>
    <xf numFmtId="0" fontId="0" fillId="31" borderId="11" xfId="0" applyFill="1" applyBorder="1" applyAlignment="1">
      <alignment horizontal="center"/>
    </xf>
    <xf numFmtId="0" fontId="0" fillId="32" borderId="11" xfId="0" applyFill="1" applyBorder="1"/>
    <xf numFmtId="0" fontId="0" fillId="32" borderId="11" xfId="0" applyFill="1" applyBorder="1" applyAlignment="1">
      <alignment horizontal="center"/>
    </xf>
    <xf numFmtId="0" fontId="13" fillId="13" borderId="12" xfId="0" applyFont="1" applyFill="1" applyBorder="1" applyAlignment="1">
      <alignment horizontal="center"/>
    </xf>
    <xf numFmtId="0" fontId="13" fillId="13" borderId="56" xfId="0" applyFont="1" applyFill="1" applyBorder="1" applyAlignment="1">
      <alignment horizontal="center"/>
    </xf>
    <xf numFmtId="0" fontId="13" fillId="13" borderId="59" xfId="0" applyFont="1" applyFill="1" applyBorder="1" applyAlignment="1">
      <alignment horizontal="center"/>
    </xf>
    <xf numFmtId="0" fontId="0" fillId="11" borderId="0" xfId="0" applyFill="1"/>
    <xf numFmtId="0" fontId="0" fillId="13" borderId="0" xfId="0" applyFill="1"/>
    <xf numFmtId="165" fontId="0" fillId="26" borderId="0" xfId="0" applyNumberFormat="1" applyFill="1"/>
    <xf numFmtId="0" fontId="0" fillId="12" borderId="20" xfId="0" applyFill="1" applyBorder="1" applyAlignment="1">
      <alignment horizontal="center"/>
    </xf>
    <xf numFmtId="0" fontId="0" fillId="35" borderId="0" xfId="0" applyFill="1" applyAlignment="1">
      <alignment horizontal="center"/>
    </xf>
    <xf numFmtId="165" fontId="0" fillId="14" borderId="0" xfId="0" applyNumberFormat="1" applyFill="1"/>
    <xf numFmtId="0" fontId="19" fillId="37" borderId="33" xfId="0" applyFont="1" applyFill="1" applyBorder="1" applyAlignment="1">
      <alignment horizontal="center"/>
    </xf>
    <xf numFmtId="0" fontId="19" fillId="37" borderId="11" xfId="0" applyFont="1" applyFill="1" applyBorder="1" applyAlignment="1">
      <alignment horizontal="center"/>
    </xf>
    <xf numFmtId="0" fontId="18" fillId="24" borderId="56" xfId="0" applyFont="1" applyFill="1" applyBorder="1" applyAlignment="1">
      <alignment horizontal="center"/>
    </xf>
    <xf numFmtId="0" fontId="19" fillId="37" borderId="25" xfId="0" applyFont="1" applyFill="1" applyBorder="1" applyAlignment="1">
      <alignment horizontal="center"/>
    </xf>
    <xf numFmtId="0" fontId="0" fillId="25" borderId="33" xfId="0" applyFill="1" applyBorder="1"/>
    <xf numFmtId="0" fontId="0" fillId="25" borderId="72" xfId="0" applyFill="1" applyBorder="1" applyAlignment="1">
      <alignment horizontal="center"/>
    </xf>
    <xf numFmtId="0" fontId="0" fillId="25" borderId="11" xfId="0" applyFill="1" applyBorder="1"/>
    <xf numFmtId="0" fontId="0" fillId="25" borderId="23" xfId="0" applyFill="1" applyBorder="1" applyAlignment="1">
      <alignment horizontal="center"/>
    </xf>
    <xf numFmtId="0" fontId="0" fillId="25" borderId="18" xfId="0" applyFill="1" applyBorder="1"/>
    <xf numFmtId="0" fontId="0" fillId="25" borderId="73" xfId="0" applyFill="1" applyBorder="1" applyAlignment="1">
      <alignment horizontal="center"/>
    </xf>
    <xf numFmtId="0" fontId="0" fillId="39" borderId="32" xfId="0" applyFill="1" applyBorder="1"/>
    <xf numFmtId="0" fontId="0" fillId="39" borderId="15" xfId="0" applyFill="1" applyBorder="1"/>
    <xf numFmtId="0" fontId="0" fillId="39" borderId="17" xfId="0" applyFill="1" applyBorder="1"/>
    <xf numFmtId="0" fontId="19" fillId="16" borderId="34" xfId="0" applyFont="1" applyFill="1" applyBorder="1"/>
    <xf numFmtId="0" fontId="19" fillId="16" borderId="16" xfId="0" applyFont="1" applyFill="1" applyBorder="1"/>
    <xf numFmtId="0" fontId="19" fillId="16" borderId="61" xfId="0" applyFont="1" applyFill="1"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0" fillId="0" borderId="80" xfId="0" applyBorder="1"/>
    <xf numFmtId="0" fontId="0" fillId="0" borderId="81" xfId="0" applyBorder="1"/>
    <xf numFmtId="0" fontId="0" fillId="0" borderId="82" xfId="0" applyBorder="1"/>
    <xf numFmtId="0" fontId="2" fillId="2" borderId="83" xfId="0" applyFont="1" applyFill="1" applyBorder="1"/>
    <xf numFmtId="0" fontId="2" fillId="2" borderId="84" xfId="0" applyFont="1" applyFill="1" applyBorder="1"/>
    <xf numFmtId="0" fontId="2" fillId="2" borderId="85" xfId="0" applyFont="1" applyFill="1" applyBorder="1"/>
    <xf numFmtId="0" fontId="0" fillId="15" borderId="88" xfId="0" applyFill="1" applyBorder="1"/>
    <xf numFmtId="0" fontId="0" fillId="16" borderId="88" xfId="0" applyFill="1" applyBorder="1"/>
    <xf numFmtId="0" fontId="0" fillId="16" borderId="89" xfId="0" applyFill="1" applyBorder="1"/>
    <xf numFmtId="165" fontId="0" fillId="36" borderId="89" xfId="0" applyNumberFormat="1" applyFill="1" applyBorder="1"/>
    <xf numFmtId="0" fontId="0" fillId="16" borderId="87" xfId="0" applyFill="1" applyBorder="1"/>
    <xf numFmtId="0" fontId="0" fillId="15" borderId="64" xfId="0" applyFill="1" applyBorder="1"/>
    <xf numFmtId="0" fontId="0" fillId="15" borderId="65" xfId="0" applyFill="1" applyBorder="1"/>
    <xf numFmtId="0" fontId="0" fillId="23" borderId="62" xfId="0" applyFill="1" applyBorder="1" applyAlignment="1">
      <alignment horizontal="center"/>
    </xf>
    <xf numFmtId="0" fontId="0" fillId="15" borderId="12" xfId="0" applyFill="1" applyBorder="1"/>
    <xf numFmtId="0" fontId="0" fillId="16" borderId="14" xfId="0" applyFill="1" applyBorder="1" applyAlignment="1">
      <alignment wrapText="1"/>
    </xf>
    <xf numFmtId="0" fontId="0" fillId="16" borderId="62" xfId="0" applyFill="1" applyBorder="1" applyAlignment="1">
      <alignment wrapText="1"/>
    </xf>
    <xf numFmtId="0" fontId="0" fillId="16" borderId="63" xfId="0" applyFill="1" applyBorder="1"/>
    <xf numFmtId="0" fontId="0" fillId="15" borderId="21" xfId="0" applyFill="1" applyBorder="1"/>
    <xf numFmtId="0" fontId="27" fillId="36" borderId="20" xfId="0" applyFont="1" applyFill="1" applyBorder="1" applyAlignment="1">
      <alignment horizontal="center"/>
    </xf>
    <xf numFmtId="0" fontId="28" fillId="4" borderId="11" xfId="0" applyFont="1" applyFill="1" applyBorder="1"/>
    <xf numFmtId="0" fontId="28" fillId="4" borderId="11" xfId="0" applyFont="1" applyFill="1" applyBorder="1" applyAlignment="1">
      <alignment horizontal="center"/>
    </xf>
    <xf numFmtId="0" fontId="0" fillId="0" borderId="0" xfId="0" applyAlignment="1">
      <alignment horizontal="center"/>
    </xf>
    <xf numFmtId="0" fontId="20" fillId="15" borderId="20" xfId="0" applyFont="1" applyFill="1" applyBorder="1"/>
    <xf numFmtId="0" fontId="2" fillId="3" borderId="0" xfId="0" applyFont="1" applyFill="1"/>
    <xf numFmtId="0" fontId="0" fillId="0" borderId="0" xfId="0" quotePrefix="1"/>
    <xf numFmtId="0" fontId="1" fillId="0" borderId="0" xfId="0" applyFont="1" applyFill="1" applyAlignment="1">
      <alignment wrapText="1"/>
    </xf>
    <xf numFmtId="0" fontId="0" fillId="0" borderId="0" xfId="0" applyFill="1"/>
    <xf numFmtId="0" fontId="0" fillId="0" borderId="0" xfId="0" applyFill="1" applyAlignment="1">
      <alignment wrapText="1"/>
    </xf>
    <xf numFmtId="0" fontId="0" fillId="42" borderId="0" xfId="0" applyFill="1"/>
    <xf numFmtId="0" fontId="1" fillId="42" borderId="0" xfId="0" applyFont="1" applyFill="1" applyAlignment="1">
      <alignment wrapText="1"/>
    </xf>
    <xf numFmtId="0" fontId="0" fillId="42" borderId="0" xfId="0" applyFill="1" applyAlignment="1">
      <alignment wrapText="1"/>
    </xf>
    <xf numFmtId="0" fontId="2" fillId="2" borderId="0" xfId="0" applyFont="1" applyFill="1" applyAlignment="1">
      <alignment horizontal="center"/>
    </xf>
    <xf numFmtId="0" fontId="29" fillId="41" borderId="0" xfId="0" applyFont="1" applyFill="1" applyAlignment="1">
      <alignment vertical="top" wrapText="1"/>
    </xf>
    <xf numFmtId="0" fontId="10" fillId="9" borderId="0" xfId="0" applyFont="1" applyFill="1" applyAlignment="1">
      <alignment horizontal="center"/>
    </xf>
    <xf numFmtId="0" fontId="31" fillId="16" borderId="26" xfId="0" applyFont="1" applyFill="1" applyBorder="1" applyAlignment="1">
      <alignment horizontal="center" wrapText="1"/>
    </xf>
    <xf numFmtId="0" fontId="31" fillId="16" borderId="91" xfId="0" applyFont="1" applyFill="1" applyBorder="1" applyAlignment="1">
      <alignment horizontal="center" wrapText="1"/>
    </xf>
    <xf numFmtId="0" fontId="31" fillId="16" borderId="24" xfId="0" applyFont="1" applyFill="1" applyBorder="1" applyAlignment="1">
      <alignment horizontal="center" wrapText="1"/>
    </xf>
    <xf numFmtId="0" fontId="31" fillId="16" borderId="27" xfId="0" applyFont="1" applyFill="1" applyBorder="1" applyAlignment="1">
      <alignment horizontal="center" wrapText="1"/>
    </xf>
    <xf numFmtId="0" fontId="31" fillId="16" borderId="0" xfId="0" applyFont="1" applyFill="1" applyBorder="1" applyAlignment="1">
      <alignment horizontal="center" wrapText="1"/>
    </xf>
    <xf numFmtId="0" fontId="31" fillId="16" borderId="68" xfId="0" applyFont="1" applyFill="1" applyBorder="1" applyAlignment="1">
      <alignment horizontal="center" wrapText="1"/>
    </xf>
    <xf numFmtId="0" fontId="30" fillId="16" borderId="26" xfId="0" applyFont="1" applyFill="1" applyBorder="1" applyAlignment="1">
      <alignment horizontal="left" vertical="center" wrapText="1"/>
    </xf>
    <xf numFmtId="0" fontId="30" fillId="16" borderId="91" xfId="0" applyFont="1" applyFill="1" applyBorder="1" applyAlignment="1">
      <alignment horizontal="left" vertical="center" wrapText="1"/>
    </xf>
    <xf numFmtId="0" fontId="30" fillId="16" borderId="24" xfId="0" applyFont="1" applyFill="1" applyBorder="1" applyAlignment="1">
      <alignment horizontal="left" vertical="center" wrapText="1"/>
    </xf>
    <xf numFmtId="0" fontId="30" fillId="16" borderId="27" xfId="0" applyFont="1" applyFill="1" applyBorder="1" applyAlignment="1">
      <alignment horizontal="left" vertical="center" wrapText="1"/>
    </xf>
    <xf numFmtId="0" fontId="30" fillId="16" borderId="0" xfId="0" applyFont="1" applyFill="1" applyBorder="1" applyAlignment="1">
      <alignment horizontal="left" vertical="center" wrapText="1"/>
    </xf>
    <xf numFmtId="0" fontId="30" fillId="16" borderId="68" xfId="0" applyFont="1" applyFill="1" applyBorder="1" applyAlignment="1">
      <alignment horizontal="left" vertical="center" wrapText="1"/>
    </xf>
    <xf numFmtId="0" fontId="30" fillId="16" borderId="69" xfId="0" applyFont="1" applyFill="1" applyBorder="1" applyAlignment="1">
      <alignment horizontal="left" vertical="center" wrapText="1"/>
    </xf>
    <xf numFmtId="0" fontId="30" fillId="16" borderId="70" xfId="0" applyFont="1" applyFill="1" applyBorder="1" applyAlignment="1">
      <alignment horizontal="left" vertical="center" wrapText="1"/>
    </xf>
    <xf numFmtId="0" fontId="30" fillId="16" borderId="71" xfId="0" applyFont="1" applyFill="1" applyBorder="1" applyAlignment="1">
      <alignment horizontal="left" vertical="center" wrapText="1"/>
    </xf>
    <xf numFmtId="0" fontId="3" fillId="3" borderId="0" xfId="0" applyFont="1" applyFill="1" applyAlignment="1"/>
    <xf numFmtId="0" fontId="17" fillId="16" borderId="0" xfId="0" applyFont="1" applyFill="1" applyAlignment="1"/>
    <xf numFmtId="0" fontId="2" fillId="4" borderId="0" xfId="0" applyFont="1" applyFill="1" applyAlignment="1"/>
    <xf numFmtId="0" fontId="2" fillId="8" borderId="0" xfId="0" applyFont="1" applyFill="1" applyAlignment="1">
      <alignment horizontal="center" vertical="center"/>
    </xf>
    <xf numFmtId="0" fontId="2" fillId="4" borderId="0" xfId="0" applyFont="1" applyFill="1" applyAlignment="1">
      <alignment horizontal="center" vertical="center"/>
    </xf>
    <xf numFmtId="0" fontId="2" fillId="40" borderId="0" xfId="0" applyFont="1" applyFill="1" applyAlignment="1"/>
    <xf numFmtId="0" fontId="5" fillId="0" borderId="0" xfId="0" applyFont="1" applyAlignment="1"/>
    <xf numFmtId="0" fontId="2" fillId="3" borderId="0" xfId="0" applyFont="1" applyFill="1" applyAlignment="1"/>
    <xf numFmtId="0" fontId="12" fillId="5" borderId="0" xfId="0" applyFont="1" applyFill="1" applyAlignment="1">
      <alignment horizontal="center"/>
    </xf>
    <xf numFmtId="0" fontId="6" fillId="3" borderId="0" xfId="0" applyFont="1" applyFill="1" applyAlignment="1">
      <alignment horizontal="center" vertical="center"/>
    </xf>
    <xf numFmtId="0" fontId="11" fillId="10" borderId="8" xfId="0" applyFont="1" applyFill="1" applyBorder="1" applyAlignment="1"/>
    <xf numFmtId="0" fontId="11" fillId="10" borderId="9" xfId="0" applyFont="1" applyFill="1" applyBorder="1" applyAlignment="1"/>
    <xf numFmtId="0" fontId="11" fillId="10" borderId="10" xfId="0" applyFont="1" applyFill="1" applyBorder="1" applyAlignment="1"/>
    <xf numFmtId="0" fontId="2" fillId="4" borderId="4" xfId="0" applyFont="1" applyFill="1" applyBorder="1" applyAlignment="1"/>
    <xf numFmtId="0" fontId="0" fillId="15" borderId="0" xfId="0" applyFill="1" applyAlignment="1">
      <alignment horizontal="left" vertical="top" wrapText="1"/>
    </xf>
    <xf numFmtId="0" fontId="0" fillId="15" borderId="4" xfId="0" applyFill="1" applyBorder="1" applyAlignment="1">
      <alignment horizontal="left" vertical="top" wrapText="1"/>
    </xf>
    <xf numFmtId="0" fontId="0" fillId="15" borderId="7" xfId="0" applyFill="1" applyBorder="1" applyAlignment="1">
      <alignment horizontal="left" vertical="top" wrapText="1"/>
    </xf>
    <xf numFmtId="0" fontId="0" fillId="15" borderId="5" xfId="0" applyFill="1" applyBorder="1" applyAlignment="1">
      <alignment horizontal="left" vertical="top" wrapText="1"/>
    </xf>
    <xf numFmtId="0" fontId="4" fillId="5" borderId="0" xfId="0" applyFont="1" applyFill="1" applyAlignment="1"/>
    <xf numFmtId="9" fontId="9" fillId="0" borderId="41" xfId="0" applyNumberFormat="1" applyFont="1" applyBorder="1" applyAlignment="1">
      <alignment horizontal="center"/>
    </xf>
    <xf numFmtId="167" fontId="9" fillId="0" borderId="42" xfId="0" applyNumberFormat="1" applyFont="1" applyBorder="1" applyAlignment="1">
      <alignment horizontal="center"/>
    </xf>
    <xf numFmtId="168" fontId="9" fillId="0" borderId="41" xfId="0" applyNumberFormat="1" applyFont="1" applyBorder="1" applyAlignment="1">
      <alignment horizontal="center"/>
    </xf>
    <xf numFmtId="1" fontId="9" fillId="0" borderId="41" xfId="0" applyNumberFormat="1" applyFont="1" applyBorder="1" applyAlignment="1">
      <alignment horizontal="center"/>
    </xf>
    <xf numFmtId="0" fontId="0" fillId="7" borderId="40" xfId="0" applyFill="1" applyBorder="1" applyAlignment="1">
      <alignment vertical="top" wrapText="1"/>
    </xf>
    <xf numFmtId="0" fontId="0" fillId="7" borderId="0" xfId="0" applyFill="1" applyAlignment="1">
      <alignment vertical="top" wrapText="1"/>
    </xf>
    <xf numFmtId="0" fontId="0" fillId="7" borderId="4" xfId="0" applyFill="1" applyBorder="1" applyAlignment="1">
      <alignment vertical="top" wrapText="1"/>
    </xf>
    <xf numFmtId="0" fontId="0" fillId="7" borderId="37" xfId="0" applyFill="1" applyBorder="1" applyAlignment="1">
      <alignment vertical="top" wrapText="1"/>
    </xf>
    <xf numFmtId="0" fontId="0" fillId="7" borderId="7" xfId="0" applyFill="1" applyBorder="1" applyAlignment="1">
      <alignment vertical="top" wrapText="1"/>
    </xf>
    <xf numFmtId="0" fontId="0" fillId="7" borderId="5" xfId="0" applyFill="1" applyBorder="1" applyAlignment="1">
      <alignment vertical="top" wrapText="1"/>
    </xf>
    <xf numFmtId="0" fontId="2" fillId="2" borderId="0" xfId="0" applyFont="1" applyFill="1" applyAlignment="1">
      <alignment horizontal="center"/>
    </xf>
    <xf numFmtId="165" fontId="8" fillId="6" borderId="41" xfId="0" applyNumberFormat="1" applyFont="1" applyFill="1" applyBorder="1" applyAlignment="1">
      <alignment horizontal="center" vertical="center"/>
    </xf>
    <xf numFmtId="0" fontId="8" fillId="6" borderId="41" xfId="0" applyFont="1" applyFill="1" applyBorder="1" applyAlignment="1">
      <alignment horizontal="center" vertical="center"/>
    </xf>
    <xf numFmtId="0" fontId="2" fillId="4" borderId="0" xfId="0" applyFont="1" applyFill="1" applyAlignment="1">
      <alignment horizontal="center"/>
    </xf>
    <xf numFmtId="0" fontId="2" fillId="4" borderId="41" xfId="0" applyFont="1" applyFill="1" applyBorder="1" applyAlignment="1">
      <alignment horizontal="center"/>
    </xf>
    <xf numFmtId="1" fontId="8" fillId="6" borderId="41" xfId="0" applyNumberFormat="1" applyFont="1" applyFill="1" applyBorder="1" applyAlignment="1">
      <alignment horizontal="center" vertical="center"/>
    </xf>
    <xf numFmtId="0" fontId="24" fillId="16" borderId="6" xfId="0" applyFont="1" applyFill="1" applyBorder="1" applyAlignment="1">
      <alignment vertical="center"/>
    </xf>
    <xf numFmtId="0" fontId="24" fillId="16" borderId="31" xfId="0" applyFont="1" applyFill="1" applyBorder="1" applyAlignment="1">
      <alignment vertical="center"/>
    </xf>
    <xf numFmtId="0" fontId="24" fillId="16" borderId="3" xfId="0" applyFont="1" applyFill="1" applyBorder="1" applyAlignment="1">
      <alignment vertical="center"/>
    </xf>
    <xf numFmtId="0" fontId="1" fillId="23" borderId="52" xfId="0" applyFont="1" applyFill="1" applyBorder="1" applyAlignment="1">
      <alignment horizontal="center" vertical="center"/>
    </xf>
    <xf numFmtId="0" fontId="1" fillId="23" borderId="53" xfId="0" applyFont="1" applyFill="1" applyBorder="1" applyAlignment="1">
      <alignment horizontal="center" vertical="center"/>
    </xf>
    <xf numFmtId="0" fontId="16" fillId="23" borderId="52" xfId="0" applyFont="1" applyFill="1" applyBorder="1" applyAlignment="1">
      <alignment horizontal="center"/>
    </xf>
    <xf numFmtId="0" fontId="16" fillId="23" borderId="53" xfId="0" applyFont="1" applyFill="1" applyBorder="1" applyAlignment="1">
      <alignment horizontal="center"/>
    </xf>
    <xf numFmtId="0" fontId="2" fillId="2" borderId="40" xfId="0" applyFont="1" applyFill="1" applyBorder="1" applyAlignment="1">
      <alignment horizontal="center"/>
    </xf>
    <xf numFmtId="0" fontId="2" fillId="2" borderId="4" xfId="0" applyFont="1" applyFill="1" applyBorder="1" applyAlignment="1">
      <alignment horizontal="center"/>
    </xf>
    <xf numFmtId="9" fontId="1" fillId="11" borderId="18" xfId="0" applyNumberFormat="1" applyFont="1" applyFill="1" applyBorder="1" applyAlignment="1">
      <alignment horizontal="center"/>
    </xf>
    <xf numFmtId="9" fontId="1" fillId="11" borderId="19" xfId="0" applyNumberFormat="1" applyFont="1" applyFill="1" applyBorder="1" applyAlignment="1">
      <alignment horizontal="center"/>
    </xf>
    <xf numFmtId="0" fontId="25" fillId="33" borderId="0" xfId="0" applyFont="1" applyFill="1" applyAlignment="1">
      <alignment vertical="center"/>
    </xf>
    <xf numFmtId="0" fontId="2" fillId="4" borderId="12" xfId="0" applyFont="1" applyFill="1" applyBorder="1" applyAlignment="1"/>
    <xf numFmtId="0" fontId="2" fillId="4" borderId="13" xfId="0" applyFont="1" applyFill="1" applyBorder="1" applyAlignment="1"/>
    <xf numFmtId="0" fontId="2" fillId="4" borderId="14" xfId="0" applyFont="1" applyFill="1" applyBorder="1" applyAlignment="1"/>
    <xf numFmtId="0" fontId="1" fillId="12" borderId="66" xfId="0" applyFont="1" applyFill="1" applyBorder="1" applyAlignment="1">
      <alignment horizontal="center"/>
    </xf>
    <xf numFmtId="0" fontId="1" fillId="12" borderId="28" xfId="0" applyFont="1" applyFill="1" applyBorder="1" applyAlignment="1">
      <alignment horizontal="center"/>
    </xf>
    <xf numFmtId="167" fontId="1" fillId="11" borderId="11" xfId="0" applyNumberFormat="1" applyFont="1" applyFill="1" applyBorder="1" applyAlignment="1">
      <alignment horizontal="center"/>
    </xf>
    <xf numFmtId="167" fontId="1" fillId="11" borderId="16" xfId="0" applyNumberFormat="1" applyFont="1" applyFill="1" applyBorder="1" applyAlignment="1">
      <alignment horizontal="center"/>
    </xf>
    <xf numFmtId="0" fontId="17" fillId="30" borderId="0" xfId="0" applyFont="1" applyFill="1" applyAlignment="1">
      <alignment vertical="center"/>
    </xf>
    <xf numFmtId="0" fontId="21" fillId="36" borderId="90" xfId="0" applyFont="1" applyFill="1" applyBorder="1" applyAlignment="1">
      <alignment horizontal="center"/>
    </xf>
    <xf numFmtId="0" fontId="21" fillId="36" borderId="86" xfId="0" applyFont="1" applyFill="1" applyBorder="1" applyAlignment="1">
      <alignment horizontal="center"/>
    </xf>
    <xf numFmtId="0" fontId="19" fillId="16" borderId="23" xfId="0" applyFont="1" applyFill="1" applyBorder="1" applyAlignment="1">
      <alignment horizontal="left" vertical="center"/>
    </xf>
    <xf numFmtId="0" fontId="19" fillId="16" borderId="67" xfId="0" applyFont="1" applyFill="1" applyBorder="1" applyAlignment="1">
      <alignment horizontal="left" vertical="center"/>
    </xf>
    <xf numFmtId="0" fontId="19" fillId="16" borderId="22" xfId="0" applyFont="1" applyFill="1" applyBorder="1" applyAlignment="1">
      <alignment horizontal="left" vertical="center"/>
    </xf>
    <xf numFmtId="0" fontId="0" fillId="38" borderId="12" xfId="0" applyFill="1" applyBorder="1" applyAlignment="1">
      <alignment horizontal="center" vertical="center"/>
    </xf>
    <xf numFmtId="0" fontId="0" fillId="38" borderId="64" xfId="0" applyFill="1" applyBorder="1" applyAlignment="1">
      <alignment horizontal="center" vertical="center"/>
    </xf>
    <xf numFmtId="0" fontId="0" fillId="38" borderId="65" xfId="0" applyFill="1" applyBorder="1" applyAlignment="1">
      <alignment horizontal="center" vertical="center"/>
    </xf>
    <xf numFmtId="0" fontId="16" fillId="22" borderId="14" xfId="0" applyFont="1" applyFill="1" applyBorder="1" applyAlignment="1">
      <alignment horizontal="center" vertical="center" wrapText="1"/>
    </xf>
    <xf numFmtId="0" fontId="16" fillId="22" borderId="62" xfId="0" applyFont="1" applyFill="1" applyBorder="1" applyAlignment="1">
      <alignment horizontal="center" vertical="center" wrapText="1"/>
    </xf>
    <xf numFmtId="0" fontId="16" fillId="22" borderId="63" xfId="0" applyFont="1" applyFill="1" applyBorder="1" applyAlignment="1">
      <alignment horizontal="center" vertical="center" wrapText="1"/>
    </xf>
    <xf numFmtId="0" fontId="22" fillId="20" borderId="0" xfId="0" applyFont="1" applyFill="1" applyAlignment="1">
      <alignment horizontal="center" vertical="center"/>
    </xf>
    <xf numFmtId="14" fontId="9" fillId="27" borderId="0" xfId="0" applyNumberFormat="1" applyFont="1" applyFill="1" applyAlignment="1">
      <alignment horizontal="center" vertical="center"/>
    </xf>
    <xf numFmtId="0" fontId="17" fillId="17" borderId="0" xfId="0" applyFont="1" applyFill="1" applyAlignment="1"/>
    <xf numFmtId="0" fontId="17" fillId="15" borderId="0" xfId="0" applyFont="1" applyFill="1" applyAlignment="1">
      <alignment horizontal="left" vertical="center"/>
    </xf>
    <xf numFmtId="0" fontId="2" fillId="4" borderId="86" xfId="0" applyFont="1" applyFill="1" applyBorder="1" applyAlignment="1"/>
    <xf numFmtId="0" fontId="2" fillId="4" borderId="90" xfId="0" applyFont="1" applyFill="1" applyBorder="1" applyAlignment="1"/>
    <xf numFmtId="0" fontId="3" fillId="29" borderId="0" xfId="0" applyFont="1" applyFill="1" applyAlignment="1"/>
    <xf numFmtId="0" fontId="26" fillId="16" borderId="23" xfId="0" applyFont="1" applyFill="1" applyBorder="1" applyAlignment="1">
      <alignment vertical="center"/>
    </xf>
    <xf numFmtId="0" fontId="26" fillId="16" borderId="67" xfId="0" applyFont="1" applyFill="1" applyBorder="1" applyAlignment="1">
      <alignment vertical="center"/>
    </xf>
    <xf numFmtId="0" fontId="26" fillId="16" borderId="22" xfId="0" applyFont="1" applyFill="1" applyBorder="1" applyAlignment="1">
      <alignment vertical="center"/>
    </xf>
    <xf numFmtId="0" fontId="0" fillId="10" borderId="11" xfId="0" applyFill="1" applyBorder="1" applyAlignment="1">
      <alignment horizontal="center"/>
    </xf>
    <xf numFmtId="0" fontId="3" fillId="13" borderId="0" xfId="0" applyFont="1" applyFill="1" applyAlignment="1"/>
    <xf numFmtId="0" fontId="4" fillId="27" borderId="0" xfId="0" applyFont="1" applyFill="1" applyAlignment="1">
      <alignment vertical="center"/>
    </xf>
    <xf numFmtId="0" fontId="0" fillId="16" borderId="27" xfId="0" applyFill="1" applyBorder="1" applyAlignment="1">
      <alignment horizontal="left" vertical="top" wrapText="1"/>
    </xf>
    <xf numFmtId="0" fontId="0" fillId="16" borderId="0" xfId="0" applyFill="1" applyAlignment="1">
      <alignment horizontal="left" vertical="top" wrapText="1"/>
    </xf>
    <xf numFmtId="0" fontId="0" fillId="16" borderId="68" xfId="0" applyFill="1" applyBorder="1" applyAlignment="1">
      <alignment horizontal="left" vertical="top" wrapText="1"/>
    </xf>
    <xf numFmtId="0" fontId="0" fillId="16" borderId="69" xfId="0" applyFill="1" applyBorder="1" applyAlignment="1">
      <alignment horizontal="left" vertical="top" wrapText="1"/>
    </xf>
    <xf numFmtId="0" fontId="0" fillId="16" borderId="70" xfId="0" applyFill="1" applyBorder="1" applyAlignment="1">
      <alignment horizontal="left" vertical="top" wrapText="1"/>
    </xf>
    <xf numFmtId="0" fontId="0" fillId="16" borderId="71" xfId="0" applyFill="1" applyBorder="1" applyAlignment="1">
      <alignment horizontal="left" vertical="top" wrapText="1"/>
    </xf>
    <xf numFmtId="0" fontId="2" fillId="13" borderId="11" xfId="0" applyFont="1" applyFill="1" applyBorder="1" applyAlignment="1">
      <alignment horizontal="left"/>
    </xf>
    <xf numFmtId="0" fontId="2" fillId="3" borderId="0" xfId="0" applyFont="1" applyFill="1" applyAlignment="1">
      <alignment wrapText="1"/>
    </xf>
  </cellXfs>
  <cellStyles count="1">
    <cellStyle name="Normal" xfId="0" builtinId="0"/>
  </cellStyles>
  <dxfs count="37">
    <dxf>
      <numFmt numFmtId="166" formatCode="0.0000"/>
    </dxf>
    <dxf>
      <numFmt numFmtId="166" formatCode="0.0000"/>
    </dxf>
    <dxf>
      <numFmt numFmtId="1" formatCode="0"/>
    </dxf>
    <dxf>
      <numFmt numFmtId="13" formatCode="0%"/>
    </dxf>
    <dxf>
      <numFmt numFmtId="3" formatCode="#,##0"/>
    </dxf>
    <dxf>
      <numFmt numFmtId="3" formatCode="#,##0"/>
    </dxf>
    <dxf>
      <numFmt numFmtId="165" formatCode="&quot;$&quot;#,##0"/>
    </dxf>
    <dxf>
      <numFmt numFmtId="165" formatCode="&quot;$&quot;#,##0"/>
    </dxf>
    <dxf>
      <numFmt numFmtId="165" formatCode="&quot;$&quot;#,##0"/>
    </dxf>
    <dxf>
      <numFmt numFmtId="164" formatCode="yyyy\-mm\-dd"/>
    </dxf>
    <dxf>
      <font>
        <b/>
        <color rgb="FFFFFFFF"/>
      </font>
      <fill>
        <patternFill patternType="solid">
          <fgColor indexed="64"/>
          <bgColor rgb="FF1F4E78"/>
        </patternFill>
      </fill>
    </dxf>
    <dxf>
      <font>
        <color rgb="FFC00000"/>
      </font>
    </dxf>
    <dxf>
      <border outline="0">
        <left style="medium">
          <color rgb="FF000000"/>
        </left>
        <right style="medium">
          <color rgb="FF000000"/>
        </right>
        <top style="medium">
          <color rgb="FF000000"/>
        </top>
        <bottom style="medium">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theme="9" tint="0.59999389629810485"/>
        </patternFill>
      </fill>
    </dxf>
    <dxf>
      <fill>
        <patternFill patternType="solid">
          <fgColor indexed="64"/>
          <bgColor theme="2" tint="-9.9978637043366805E-2"/>
        </patternFill>
      </fill>
    </dxf>
    <dxf>
      <fill>
        <patternFill patternType="solid">
          <fgColor indexed="64"/>
          <bgColor theme="7" tint="0.59999389629810485"/>
        </patternFill>
      </fill>
    </dxf>
    <dxf>
      <fill>
        <patternFill patternType="solid">
          <fgColor indexed="64"/>
          <bgColor theme="4" tint="0.59999389629810485"/>
        </patternFill>
      </fill>
    </dxf>
    <dxf>
      <alignment horizontal="center"/>
    </dxf>
    <dxf>
      <alignment horizontal="center"/>
    </dxf>
    <dxf>
      <fill>
        <patternFill patternType="solid">
          <fgColor indexed="64"/>
          <bgColor theme="0" tint="-0.14999847407452621"/>
        </patternFill>
      </fill>
    </dxf>
  </dxfs>
  <tableStyles count="0" defaultTableStyle="TableStyleMedium2" defaultPivotStyle="PivotStyleMedium9"/>
  <colors>
    <mruColors>
      <color rgb="FFEAF2E6"/>
      <color rgb="FFD5EDE4"/>
      <color rgb="FFEAC5FC"/>
      <color rgb="FFFFFFFF"/>
      <color rgb="FFA6CAE0"/>
      <color rgb="FFCCE6E0"/>
      <color rgb="FFE8B5B5"/>
      <color rgb="FFDCD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vs Actual Cost</a:t>
            </a:r>
          </a:p>
        </c:rich>
      </c:tx>
      <c:overlay val="0"/>
      <c:spPr>
        <a:solidFill>
          <a:srgbClr val="EAC5FC"/>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Dashboard!$B$14</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Dashboard!$A$15:$A$38</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Dashboard!$B$15:$B$38</c:f>
              <c:numCache>
                <c:formatCode>General</c:formatCode>
                <c:ptCount val="24"/>
                <c:pt idx="0">
                  <c:v>0</c:v>
                </c:pt>
                <c:pt idx="1">
                  <c:v>279566</c:v>
                </c:pt>
                <c:pt idx="2">
                  <c:v>485848</c:v>
                </c:pt>
                <c:pt idx="3">
                  <c:v>0</c:v>
                </c:pt>
                <c:pt idx="4">
                  <c:v>295996</c:v>
                </c:pt>
                <c:pt idx="5">
                  <c:v>418422</c:v>
                </c:pt>
                <c:pt idx="6">
                  <c:v>0</c:v>
                </c:pt>
                <c:pt idx="7">
                  <c:v>414418</c:v>
                </c:pt>
                <c:pt idx="8">
                  <c:v>120424</c:v>
                </c:pt>
                <c:pt idx="9">
                  <c:v>0</c:v>
                </c:pt>
                <c:pt idx="10">
                  <c:v>346992</c:v>
                </c:pt>
                <c:pt idx="11">
                  <c:v>308274</c:v>
                </c:pt>
                <c:pt idx="12">
                  <c:v>0</c:v>
                </c:pt>
                <c:pt idx="13">
                  <c:v>328974</c:v>
                </c:pt>
                <c:pt idx="14">
                  <c:v>77702</c:v>
                </c:pt>
                <c:pt idx="15">
                  <c:v>0</c:v>
                </c:pt>
                <c:pt idx="16">
                  <c:v>261548</c:v>
                </c:pt>
                <c:pt idx="17">
                  <c:v>222830</c:v>
                </c:pt>
                <c:pt idx="18">
                  <c:v>0</c:v>
                </c:pt>
                <c:pt idx="19">
                  <c:v>164487</c:v>
                </c:pt>
                <c:pt idx="20">
                  <c:v>400404</c:v>
                </c:pt>
                <c:pt idx="21">
                  <c:v>0</c:v>
                </c:pt>
                <c:pt idx="22">
                  <c:v>396400</c:v>
                </c:pt>
                <c:pt idx="23">
                  <c:v>233915</c:v>
                </c:pt>
              </c:numCache>
            </c:numRef>
          </c:val>
          <c:smooth val="0"/>
          <c:extLst>
            <c:ext xmlns:c16="http://schemas.microsoft.com/office/drawing/2014/chart" uri="{C3380CC4-5D6E-409C-BE32-E72D297353CC}">
              <c16:uniqueId val="{00000000-1C40-4393-BA2A-136C441BB28C}"/>
            </c:ext>
          </c:extLst>
        </c:ser>
        <c:ser>
          <c:idx val="1"/>
          <c:order val="1"/>
          <c:tx>
            <c:strRef>
              <c:f>Dashboard!$C$14</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Dashboard!$A$15:$A$38</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Dashboard!$C$15:$C$38</c:f>
              <c:numCache>
                <c:formatCode>General</c:formatCode>
                <c:ptCount val="24"/>
                <c:pt idx="0">
                  <c:v>0</c:v>
                </c:pt>
                <c:pt idx="1">
                  <c:v>238650</c:v>
                </c:pt>
                <c:pt idx="2">
                  <c:v>539164</c:v>
                </c:pt>
                <c:pt idx="3">
                  <c:v>0</c:v>
                </c:pt>
                <c:pt idx="4">
                  <c:v>334475</c:v>
                </c:pt>
                <c:pt idx="5">
                  <c:v>424302</c:v>
                </c:pt>
                <c:pt idx="6">
                  <c:v>0</c:v>
                </c:pt>
                <c:pt idx="7">
                  <c:v>407725</c:v>
                </c:pt>
                <c:pt idx="8">
                  <c:v>109586</c:v>
                </c:pt>
                <c:pt idx="9">
                  <c:v>0</c:v>
                </c:pt>
                <c:pt idx="10">
                  <c:v>335067</c:v>
                </c:pt>
                <c:pt idx="11">
                  <c:v>285808</c:v>
                </c:pt>
                <c:pt idx="12">
                  <c:v>0</c:v>
                </c:pt>
                <c:pt idx="13">
                  <c:v>318564</c:v>
                </c:pt>
                <c:pt idx="14">
                  <c:v>69932</c:v>
                </c:pt>
                <c:pt idx="15">
                  <c:v>0</c:v>
                </c:pt>
                <c:pt idx="16">
                  <c:v>251707</c:v>
                </c:pt>
                <c:pt idx="17">
                  <c:v>200699</c:v>
                </c:pt>
                <c:pt idx="18">
                  <c:v>0</c:v>
                </c:pt>
                <c:pt idx="19">
                  <c:v>194095</c:v>
                </c:pt>
                <c:pt idx="20">
                  <c:v>441598</c:v>
                </c:pt>
                <c:pt idx="21">
                  <c:v>0</c:v>
                </c:pt>
                <c:pt idx="22">
                  <c:v>425362</c:v>
                </c:pt>
                <c:pt idx="23">
                  <c:v>224558</c:v>
                </c:pt>
              </c:numCache>
            </c:numRef>
          </c:val>
          <c:smooth val="0"/>
          <c:extLst>
            <c:ext xmlns:c16="http://schemas.microsoft.com/office/drawing/2014/chart" uri="{C3380CC4-5D6E-409C-BE32-E72D297353CC}">
              <c16:uniqueId val="{00000002-1C40-4393-BA2A-136C441BB28C}"/>
            </c:ext>
          </c:extLst>
        </c:ser>
        <c:dLbls>
          <c:showLegendKey val="0"/>
          <c:showVal val="0"/>
          <c:showCatName val="0"/>
          <c:showSerName val="0"/>
          <c:showPercent val="0"/>
          <c:showBubbleSize val="0"/>
        </c:dLbls>
        <c:marker val="1"/>
        <c:smooth val="0"/>
        <c:axId val="1910299144"/>
        <c:axId val="1928108552"/>
      </c:lineChart>
      <c:catAx>
        <c:axId val="1910299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108552"/>
        <c:crosses val="autoZero"/>
        <c:auto val="1"/>
        <c:lblAlgn val="ctr"/>
        <c:lblOffset val="100"/>
        <c:noMultiLvlLbl val="0"/>
      </c:catAx>
      <c:valAx>
        <c:axId val="1928108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99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Project Count by Status</a:t>
            </a:r>
          </a:p>
        </c:rich>
      </c:tx>
      <c:overlay val="0"/>
      <c:spPr>
        <a:solidFill>
          <a:srgbClr val="FFE699"/>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Dashboard!$O$2</c:f>
              <c:strCache>
                <c:ptCount val="1"/>
                <c:pt idx="0">
                  <c:v>Projects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Dashboard!$N$3:$N$6</c:f>
              <c:strCache>
                <c:ptCount val="4"/>
                <c:pt idx="0">
                  <c:v>Active</c:v>
                </c:pt>
                <c:pt idx="1">
                  <c:v>Complete</c:v>
                </c:pt>
                <c:pt idx="2">
                  <c:v>At Risk</c:v>
                </c:pt>
                <c:pt idx="3">
                  <c:v>On Hold</c:v>
                </c:pt>
              </c:strCache>
            </c:strRef>
          </c:cat>
          <c:val>
            <c:numRef>
              <c:f>Dashboard!$O$3:$O$6</c:f>
              <c:numCache>
                <c:formatCode>General</c:formatCode>
                <c:ptCount val="4"/>
                <c:pt idx="0">
                  <c:v>40</c:v>
                </c:pt>
                <c:pt idx="1">
                  <c:v>26</c:v>
                </c:pt>
                <c:pt idx="2">
                  <c:v>27</c:v>
                </c:pt>
                <c:pt idx="3">
                  <c:v>27</c:v>
                </c:pt>
              </c:numCache>
            </c:numRef>
          </c:val>
          <c:extLst>
            <c:ext xmlns:c16="http://schemas.microsoft.com/office/drawing/2014/chart" uri="{C3380CC4-5D6E-409C-BE32-E72D297353CC}">
              <c16:uniqueId val="{00000000-DFFE-440E-95EE-3343D45D21D0}"/>
            </c:ext>
          </c:extLst>
        </c:ser>
        <c:dLbls>
          <c:showLegendKey val="0"/>
          <c:showVal val="0"/>
          <c:showCatName val="0"/>
          <c:showSerName val="0"/>
          <c:showPercent val="0"/>
          <c:showBubbleSize val="0"/>
        </c:dLbls>
        <c:gapWidth val="182"/>
        <c:axId val="87325703"/>
        <c:axId val="87494151"/>
      </c:barChart>
      <c:catAx>
        <c:axId val="87325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4151"/>
        <c:crosses val="autoZero"/>
        <c:auto val="1"/>
        <c:lblAlgn val="ctr"/>
        <c:lblOffset val="100"/>
        <c:noMultiLvlLbl val="0"/>
      </c:catAx>
      <c:valAx>
        <c:axId val="87494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25703"/>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a:t>Business Value by Region</a:t>
            </a:r>
          </a:p>
        </c:rich>
      </c:tx>
      <c:overlay val="0"/>
      <c:spPr>
        <a:solidFill>
          <a:srgbClr val="FFE699"/>
        </a:solid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Dashboard!$R$2</c:f>
              <c:strCache>
                <c:ptCount val="1"/>
                <c:pt idx="0">
                  <c:v>Business Value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Dashboard!$Q$3:$Q$7</c:f>
              <c:strCache>
                <c:ptCount val="5"/>
                <c:pt idx="0">
                  <c:v>North</c:v>
                </c:pt>
                <c:pt idx="1">
                  <c:v>South</c:v>
                </c:pt>
                <c:pt idx="2">
                  <c:v>East</c:v>
                </c:pt>
                <c:pt idx="3">
                  <c:v>West</c:v>
                </c:pt>
                <c:pt idx="4">
                  <c:v>Central</c:v>
                </c:pt>
              </c:strCache>
            </c:strRef>
          </c:cat>
          <c:val>
            <c:numRef>
              <c:f>Dashboard!$R$3:$R$7</c:f>
              <c:numCache>
                <c:formatCode>General</c:formatCode>
                <c:ptCount val="5"/>
                <c:pt idx="0">
                  <c:v>1604813</c:v>
                </c:pt>
                <c:pt idx="1">
                  <c:v>1021268</c:v>
                </c:pt>
                <c:pt idx="2">
                  <c:v>1037319</c:v>
                </c:pt>
                <c:pt idx="3">
                  <c:v>1548552</c:v>
                </c:pt>
                <c:pt idx="4">
                  <c:v>1667326</c:v>
                </c:pt>
              </c:numCache>
            </c:numRef>
          </c:val>
          <c:extLst>
            <c:ext xmlns:c16="http://schemas.microsoft.com/office/drawing/2014/chart" uri="{C3380CC4-5D6E-409C-BE32-E72D297353CC}">
              <c16:uniqueId val="{00000000-E0C0-46BB-83CB-891985562B21}"/>
            </c:ext>
          </c:extLst>
        </c:ser>
        <c:dLbls>
          <c:showLegendKey val="0"/>
          <c:showVal val="0"/>
          <c:showCatName val="0"/>
          <c:showSerName val="0"/>
          <c:showPercent val="0"/>
          <c:showBubbleSize val="0"/>
        </c:dLbls>
        <c:gapWidth val="219"/>
        <c:overlap val="-27"/>
        <c:axId val="88163335"/>
        <c:axId val="88280071"/>
      </c:barChart>
      <c:catAx>
        <c:axId val="88163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0071"/>
        <c:crosses val="autoZero"/>
        <c:auto val="1"/>
        <c:lblAlgn val="ctr"/>
        <c:lblOffset val="100"/>
        <c:noMultiLvlLbl val="0"/>
      </c:catAx>
      <c:valAx>
        <c:axId val="88280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63335"/>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a:t>Selected Department — Monthly Performance</a:t>
            </a:r>
          </a:p>
        </c:rich>
      </c:tx>
      <c:overlay val="0"/>
      <c:spPr>
        <a:solidFill>
          <a:srgbClr val="FCE4D6"/>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'Business Insights'!$O$29</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Insights'!$O$30:$O$53</c:f>
              <c:numCache>
                <c:formatCode>General</c:formatCode>
                <c:ptCount val="24"/>
                <c:pt idx="0">
                  <c:v>208136</c:v>
                </c:pt>
                <c:pt idx="1">
                  <c:v>243925</c:v>
                </c:pt>
                <c:pt idx="2">
                  <c:v>485848</c:v>
                </c:pt>
                <c:pt idx="3">
                  <c:v>241923</c:v>
                </c:pt>
                <c:pt idx="4">
                  <c:v>87712</c:v>
                </c:pt>
                <c:pt idx="5">
                  <c:v>276637</c:v>
                </c:pt>
                <c:pt idx="6">
                  <c:v>0</c:v>
                </c:pt>
                <c:pt idx="7">
                  <c:v>176499</c:v>
                </c:pt>
                <c:pt idx="8">
                  <c:v>120424</c:v>
                </c:pt>
                <c:pt idx="9">
                  <c:v>64349</c:v>
                </c:pt>
                <c:pt idx="10">
                  <c:v>0</c:v>
                </c:pt>
                <c:pt idx="11">
                  <c:v>209211</c:v>
                </c:pt>
                <c:pt idx="12">
                  <c:v>0</c:v>
                </c:pt>
                <c:pt idx="13">
                  <c:v>97061</c:v>
                </c:pt>
                <c:pt idx="14">
                  <c:v>285986</c:v>
                </c:pt>
                <c:pt idx="15">
                  <c:v>131775</c:v>
                </c:pt>
                <c:pt idx="16">
                  <c:v>261548</c:v>
                </c:pt>
                <c:pt idx="17">
                  <c:v>129773</c:v>
                </c:pt>
                <c:pt idx="18">
                  <c:v>294260</c:v>
                </c:pt>
                <c:pt idx="19">
                  <c:v>164487</c:v>
                </c:pt>
                <c:pt idx="20">
                  <c:v>108412</c:v>
                </c:pt>
                <c:pt idx="21">
                  <c:v>0</c:v>
                </c:pt>
                <c:pt idx="22">
                  <c:v>253274</c:v>
                </c:pt>
                <c:pt idx="23">
                  <c:v>197199</c:v>
                </c:pt>
              </c:numCache>
            </c:numRef>
          </c:val>
          <c:smooth val="0"/>
          <c:extLst>
            <c:ext xmlns:c16="http://schemas.microsoft.com/office/drawing/2014/chart" uri="{C3380CC4-5D6E-409C-BE32-E72D297353CC}">
              <c16:uniqueId val="{00000000-4DF0-4D64-8763-18B8490FF0FA}"/>
            </c:ext>
          </c:extLst>
        </c:ser>
        <c:ser>
          <c:idx val="1"/>
          <c:order val="1"/>
          <c:tx>
            <c:strRef>
              <c:f>'Business Insights'!$P$29</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Insights'!$P$30:$P$53</c:f>
              <c:numCache>
                <c:formatCode>General</c:formatCode>
                <c:ptCount val="24"/>
                <c:pt idx="0">
                  <c:v>219675</c:v>
                </c:pt>
                <c:pt idx="1">
                  <c:v>270757</c:v>
                </c:pt>
                <c:pt idx="2">
                  <c:v>539164</c:v>
                </c:pt>
                <c:pt idx="3">
                  <c:v>261277</c:v>
                </c:pt>
                <c:pt idx="4">
                  <c:v>92098</c:v>
                </c:pt>
                <c:pt idx="5">
                  <c:v>268338</c:v>
                </c:pt>
                <c:pt idx="6">
                  <c:v>0</c:v>
                </c:pt>
                <c:pt idx="7">
                  <c:v>174734</c:v>
                </c:pt>
                <c:pt idx="8">
                  <c:v>109586</c:v>
                </c:pt>
                <c:pt idx="9">
                  <c:v>53410</c:v>
                </c:pt>
                <c:pt idx="10">
                  <c:v>0</c:v>
                </c:pt>
                <c:pt idx="11">
                  <c:v>177829</c:v>
                </c:pt>
                <c:pt idx="12">
                  <c:v>0</c:v>
                </c:pt>
                <c:pt idx="13">
                  <c:v>102885</c:v>
                </c:pt>
                <c:pt idx="14">
                  <c:v>280266</c:v>
                </c:pt>
                <c:pt idx="15">
                  <c:v>125186</c:v>
                </c:pt>
                <c:pt idx="16">
                  <c:v>251707</c:v>
                </c:pt>
                <c:pt idx="17">
                  <c:v>119391</c:v>
                </c:pt>
                <c:pt idx="18">
                  <c:v>258206</c:v>
                </c:pt>
                <c:pt idx="19">
                  <c:v>194095</c:v>
                </c:pt>
                <c:pt idx="20">
                  <c:v>119253</c:v>
                </c:pt>
                <c:pt idx="21">
                  <c:v>0</c:v>
                </c:pt>
                <c:pt idx="22">
                  <c:v>283667</c:v>
                </c:pt>
                <c:pt idx="23">
                  <c:v>205087</c:v>
                </c:pt>
              </c:numCache>
            </c:numRef>
          </c:val>
          <c:smooth val="0"/>
          <c:extLst>
            <c:ext xmlns:c16="http://schemas.microsoft.com/office/drawing/2014/chart" uri="{C3380CC4-5D6E-409C-BE32-E72D297353CC}">
              <c16:uniqueId val="{00000002-4DF0-4D64-8763-18B8490FF0FA}"/>
            </c:ext>
          </c:extLst>
        </c:ser>
        <c:ser>
          <c:idx val="2"/>
          <c:order val="2"/>
          <c:tx>
            <c:strRef>
              <c:f>'Business Insights'!$Q$29</c:f>
              <c:strCache>
                <c:ptCount val="1"/>
                <c:pt idx="0">
                  <c:v>Business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Insights'!$Q$30:$Q$53</c:f>
              <c:numCache>
                <c:formatCode>General</c:formatCode>
                <c:ptCount val="24"/>
                <c:pt idx="0">
                  <c:v>259217</c:v>
                </c:pt>
                <c:pt idx="1">
                  <c:v>414258</c:v>
                </c:pt>
                <c:pt idx="2">
                  <c:v>713348</c:v>
                </c:pt>
                <c:pt idx="3">
                  <c:v>425882</c:v>
                </c:pt>
                <c:pt idx="4">
                  <c:v>138147</c:v>
                </c:pt>
                <c:pt idx="5">
                  <c:v>367623</c:v>
                </c:pt>
                <c:pt idx="6">
                  <c:v>0</c:v>
                </c:pt>
                <c:pt idx="7">
                  <c:v>256859</c:v>
                </c:pt>
                <c:pt idx="8">
                  <c:v>146845</c:v>
                </c:pt>
                <c:pt idx="9">
                  <c:v>64626</c:v>
                </c:pt>
                <c:pt idx="10">
                  <c:v>0</c:v>
                </c:pt>
                <c:pt idx="11">
                  <c:v>232956</c:v>
                </c:pt>
                <c:pt idx="12">
                  <c:v>0</c:v>
                </c:pt>
                <c:pt idx="13">
                  <c:v>157414</c:v>
                </c:pt>
                <c:pt idx="14">
                  <c:v>392372</c:v>
                </c:pt>
                <c:pt idx="15">
                  <c:v>158986</c:v>
                </c:pt>
                <c:pt idx="16">
                  <c:v>385464</c:v>
                </c:pt>
                <c:pt idx="17">
                  <c:v>163566</c:v>
                </c:pt>
                <c:pt idx="18">
                  <c:v>320175</c:v>
                </c:pt>
                <c:pt idx="19">
                  <c:v>308611</c:v>
                </c:pt>
                <c:pt idx="20">
                  <c:v>174109</c:v>
                </c:pt>
                <c:pt idx="21">
                  <c:v>0</c:v>
                </c:pt>
                <c:pt idx="22">
                  <c:v>442521</c:v>
                </c:pt>
                <c:pt idx="23">
                  <c:v>293274</c:v>
                </c:pt>
              </c:numCache>
            </c:numRef>
          </c:val>
          <c:smooth val="0"/>
          <c:extLst>
            <c:ext xmlns:c16="http://schemas.microsoft.com/office/drawing/2014/chart" uri="{C3380CC4-5D6E-409C-BE32-E72D297353CC}">
              <c16:uniqueId val="{00000004-4DF0-4D64-8763-18B8490FF0FA}"/>
            </c:ext>
          </c:extLst>
        </c:ser>
        <c:dLbls>
          <c:showLegendKey val="0"/>
          <c:showVal val="0"/>
          <c:showCatName val="0"/>
          <c:showSerName val="0"/>
          <c:showPercent val="0"/>
          <c:showBubbleSize val="0"/>
        </c:dLbls>
        <c:marker val="1"/>
        <c:smooth val="0"/>
        <c:axId val="1656059912"/>
        <c:axId val="1656068104"/>
      </c:lineChart>
      <c:catAx>
        <c:axId val="1656059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68104"/>
        <c:crosses val="autoZero"/>
        <c:auto val="1"/>
        <c:lblAlgn val="ctr"/>
        <c:lblOffset val="100"/>
        <c:noMultiLvlLbl val="0"/>
      </c:catAx>
      <c:valAx>
        <c:axId val="1656068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59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Value by Department</a:t>
            </a:r>
          </a:p>
        </c:rich>
      </c:tx>
      <c:overlay val="0"/>
      <c:spPr>
        <a:solidFill>
          <a:srgbClr val="FCE4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'Business Insights'!$I$5</c:f>
              <c:strCache>
                <c:ptCount val="1"/>
                <c:pt idx="0">
                  <c:v>Business Value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Insights'!$E$6:$E$10</c:f>
              <c:strCache>
                <c:ptCount val="5"/>
                <c:pt idx="0">
                  <c:v>Operations</c:v>
                </c:pt>
                <c:pt idx="1">
                  <c:v>Planning</c:v>
                </c:pt>
                <c:pt idx="2">
                  <c:v>Utilities</c:v>
                </c:pt>
                <c:pt idx="3">
                  <c:v>Environment</c:v>
                </c:pt>
                <c:pt idx="4">
                  <c:v>Transport</c:v>
                </c:pt>
              </c:strCache>
            </c:strRef>
          </c:cat>
          <c:val>
            <c:numRef>
              <c:f>'Business Insights'!$I$6:$I$10</c:f>
              <c:numCache>
                <c:formatCode>"$"#,##0</c:formatCode>
                <c:ptCount val="5"/>
                <c:pt idx="0">
                  <c:v>5816253</c:v>
                </c:pt>
                <c:pt idx="1">
                  <c:v>5959188</c:v>
                </c:pt>
                <c:pt idx="2">
                  <c:v>5716171</c:v>
                </c:pt>
                <c:pt idx="3">
                  <c:v>5797941</c:v>
                </c:pt>
                <c:pt idx="4">
                  <c:v>6051292</c:v>
                </c:pt>
              </c:numCache>
            </c:numRef>
          </c:val>
          <c:extLst>
            <c:ext xmlns:c16="http://schemas.microsoft.com/office/drawing/2014/chart" uri="{C3380CC4-5D6E-409C-BE32-E72D297353CC}">
              <c16:uniqueId val="{00000000-97DC-4E62-99C3-F012407183A0}"/>
            </c:ext>
          </c:extLst>
        </c:ser>
        <c:dLbls>
          <c:showLegendKey val="0"/>
          <c:showVal val="0"/>
          <c:showCatName val="0"/>
          <c:showSerName val="0"/>
          <c:showPercent val="0"/>
          <c:showBubbleSize val="0"/>
        </c:dLbls>
        <c:gapWidth val="219"/>
        <c:overlap val="-27"/>
        <c:axId val="44661767"/>
        <c:axId val="44682247"/>
      </c:barChart>
      <c:catAx>
        <c:axId val="44661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2247"/>
        <c:crosses val="autoZero"/>
        <c:auto val="1"/>
        <c:lblAlgn val="ctr"/>
        <c:lblOffset val="100"/>
        <c:noMultiLvlLbl val="0"/>
      </c:catAx>
      <c:valAx>
        <c:axId val="44682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Cost &amp; Value</a:t>
            </a:r>
          </a:p>
        </c:rich>
      </c:tx>
      <c:overlay val="0"/>
      <c:spPr>
        <a:solidFill>
          <a:srgbClr val="DDEBF7"/>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'Business Insights'!$O$2</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Insights'!$O$3:$O$26</c:f>
              <c:numCache>
                <c:formatCode>General</c:formatCode>
                <c:ptCount val="24"/>
                <c:pt idx="0">
                  <c:v>887840</c:v>
                </c:pt>
                <c:pt idx="1">
                  <c:v>974625</c:v>
                </c:pt>
                <c:pt idx="2">
                  <c:v>1061410</c:v>
                </c:pt>
                <c:pt idx="3">
                  <c:v>903195</c:v>
                </c:pt>
                <c:pt idx="4">
                  <c:v>989980</c:v>
                </c:pt>
                <c:pt idx="5">
                  <c:v>831765</c:v>
                </c:pt>
                <c:pt idx="6">
                  <c:v>918550</c:v>
                </c:pt>
                <c:pt idx="7">
                  <c:v>760335</c:v>
                </c:pt>
                <c:pt idx="8">
                  <c:v>847120</c:v>
                </c:pt>
                <c:pt idx="9">
                  <c:v>688905</c:v>
                </c:pt>
                <c:pt idx="10">
                  <c:v>775690</c:v>
                </c:pt>
                <c:pt idx="11">
                  <c:v>862475</c:v>
                </c:pt>
                <c:pt idx="12">
                  <c:v>949940</c:v>
                </c:pt>
                <c:pt idx="13">
                  <c:v>791725</c:v>
                </c:pt>
                <c:pt idx="14">
                  <c:v>878510</c:v>
                </c:pt>
                <c:pt idx="15">
                  <c:v>720295</c:v>
                </c:pt>
                <c:pt idx="16">
                  <c:v>807080</c:v>
                </c:pt>
                <c:pt idx="17">
                  <c:v>648865</c:v>
                </c:pt>
                <c:pt idx="18">
                  <c:v>735650</c:v>
                </c:pt>
                <c:pt idx="19">
                  <c:v>822435</c:v>
                </c:pt>
                <c:pt idx="20">
                  <c:v>909220</c:v>
                </c:pt>
                <c:pt idx="21">
                  <c:v>996005</c:v>
                </c:pt>
                <c:pt idx="22">
                  <c:v>1082790</c:v>
                </c:pt>
                <c:pt idx="23">
                  <c:v>924575</c:v>
                </c:pt>
              </c:numCache>
            </c:numRef>
          </c:val>
          <c:smooth val="0"/>
          <c:extLst>
            <c:ext xmlns:c16="http://schemas.microsoft.com/office/drawing/2014/chart" uri="{C3380CC4-5D6E-409C-BE32-E72D297353CC}">
              <c16:uniqueId val="{00000000-70CC-43B2-B1E0-D7C89BB01489}"/>
            </c:ext>
          </c:extLst>
        </c:ser>
        <c:ser>
          <c:idx val="1"/>
          <c:order val="1"/>
          <c:tx>
            <c:strRef>
              <c:f>'Business Insights'!$P$2</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Insights'!$P$3:$P$26</c:f>
              <c:numCache>
                <c:formatCode>General</c:formatCode>
                <c:ptCount val="24"/>
                <c:pt idx="0">
                  <c:v>879911</c:v>
                </c:pt>
                <c:pt idx="1">
                  <c:v>951911</c:v>
                </c:pt>
                <c:pt idx="2">
                  <c:v>1076708</c:v>
                </c:pt>
                <c:pt idx="3">
                  <c:v>932623</c:v>
                </c:pt>
                <c:pt idx="4">
                  <c:v>969822</c:v>
                </c:pt>
                <c:pt idx="5">
                  <c:v>861034</c:v>
                </c:pt>
                <c:pt idx="6">
                  <c:v>966347</c:v>
                </c:pt>
                <c:pt idx="7">
                  <c:v>758048</c:v>
                </c:pt>
                <c:pt idx="8">
                  <c:v>852433</c:v>
                </c:pt>
                <c:pt idx="9">
                  <c:v>663279</c:v>
                </c:pt>
                <c:pt idx="10">
                  <c:v>804137</c:v>
                </c:pt>
                <c:pt idx="11">
                  <c:v>863722</c:v>
                </c:pt>
                <c:pt idx="12">
                  <c:v>988867</c:v>
                </c:pt>
                <c:pt idx="13">
                  <c:v>746793</c:v>
                </c:pt>
                <c:pt idx="14">
                  <c:v>876006</c:v>
                </c:pt>
                <c:pt idx="15">
                  <c:v>653079</c:v>
                </c:pt>
                <c:pt idx="16">
                  <c:v>812958</c:v>
                </c:pt>
                <c:pt idx="17">
                  <c:v>642769</c:v>
                </c:pt>
                <c:pt idx="18">
                  <c:v>715792</c:v>
                </c:pt>
                <c:pt idx="19">
                  <c:v>860134</c:v>
                </c:pt>
                <c:pt idx="20">
                  <c:v>919746</c:v>
                </c:pt>
                <c:pt idx="21">
                  <c:v>989818</c:v>
                </c:pt>
                <c:pt idx="22">
                  <c:v>1070351</c:v>
                </c:pt>
                <c:pt idx="23">
                  <c:v>920487</c:v>
                </c:pt>
              </c:numCache>
            </c:numRef>
          </c:val>
          <c:smooth val="0"/>
          <c:extLst>
            <c:ext xmlns:c16="http://schemas.microsoft.com/office/drawing/2014/chart" uri="{C3380CC4-5D6E-409C-BE32-E72D297353CC}">
              <c16:uniqueId val="{00000002-70CC-43B2-B1E0-D7C89BB01489}"/>
            </c:ext>
          </c:extLst>
        </c:ser>
        <c:ser>
          <c:idx val="2"/>
          <c:order val="2"/>
          <c:tx>
            <c:strRef>
              <c:f>'Business Insights'!$Q$2</c:f>
              <c:strCache>
                <c:ptCount val="1"/>
                <c:pt idx="0">
                  <c:v>Business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Insights'!$Q$3:$Q$26</c:f>
              <c:numCache>
                <c:formatCode>General</c:formatCode>
                <c:ptCount val="24"/>
                <c:pt idx="0">
                  <c:v>1201038</c:v>
                </c:pt>
                <c:pt idx="1">
                  <c:v>1417398</c:v>
                </c:pt>
                <c:pt idx="2">
                  <c:v>1546066</c:v>
                </c:pt>
                <c:pt idx="3">
                  <c:v>1364974</c:v>
                </c:pt>
                <c:pt idx="4">
                  <c:v>1401380</c:v>
                </c:pt>
                <c:pt idx="5">
                  <c:v>1167726</c:v>
                </c:pt>
                <c:pt idx="6">
                  <c:v>1360211</c:v>
                </c:pt>
                <c:pt idx="7">
                  <c:v>1074784</c:v>
                </c:pt>
                <c:pt idx="8">
                  <c:v>1275059</c:v>
                </c:pt>
                <c:pt idx="9">
                  <c:v>910847</c:v>
                </c:pt>
                <c:pt idx="10">
                  <c:v>1092434</c:v>
                </c:pt>
                <c:pt idx="11">
                  <c:v>1191739</c:v>
                </c:pt>
                <c:pt idx="12">
                  <c:v>1345553</c:v>
                </c:pt>
                <c:pt idx="13">
                  <c:v>1121151</c:v>
                </c:pt>
                <c:pt idx="14">
                  <c:v>1205480</c:v>
                </c:pt>
                <c:pt idx="15">
                  <c:v>924027</c:v>
                </c:pt>
                <c:pt idx="16">
                  <c:v>1176717</c:v>
                </c:pt>
                <c:pt idx="17">
                  <c:v>955921</c:v>
                </c:pt>
                <c:pt idx="18">
                  <c:v>1003830</c:v>
                </c:pt>
                <c:pt idx="19">
                  <c:v>1194851</c:v>
                </c:pt>
                <c:pt idx="20">
                  <c:v>1297013</c:v>
                </c:pt>
                <c:pt idx="21">
                  <c:v>1407564</c:v>
                </c:pt>
                <c:pt idx="22">
                  <c:v>1449319</c:v>
                </c:pt>
                <c:pt idx="23">
                  <c:v>1255763</c:v>
                </c:pt>
              </c:numCache>
            </c:numRef>
          </c:val>
          <c:smooth val="0"/>
          <c:extLst>
            <c:ext xmlns:c16="http://schemas.microsoft.com/office/drawing/2014/chart" uri="{C3380CC4-5D6E-409C-BE32-E72D297353CC}">
              <c16:uniqueId val="{00000004-70CC-43B2-B1E0-D7C89BB01489}"/>
            </c:ext>
          </c:extLst>
        </c:ser>
        <c:dLbls>
          <c:showLegendKey val="0"/>
          <c:showVal val="0"/>
          <c:showCatName val="0"/>
          <c:showSerName val="0"/>
          <c:showPercent val="0"/>
          <c:showBubbleSize val="0"/>
        </c:dLbls>
        <c:marker val="1"/>
        <c:smooth val="0"/>
        <c:axId val="1925879816"/>
        <c:axId val="1925885960"/>
      </c:lineChart>
      <c:catAx>
        <c:axId val="1925879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885960"/>
        <c:crosses val="autoZero"/>
        <c:auto val="1"/>
        <c:lblAlgn val="ctr"/>
        <c:lblOffset val="100"/>
        <c:noMultiLvlLbl val="0"/>
      </c:catAx>
      <c:valAx>
        <c:axId val="1925885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879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Value Delivered by Manager</a:t>
            </a:r>
          </a:p>
        </c:rich>
      </c:tx>
      <c:overlay val="0"/>
      <c:spPr>
        <a:solidFill>
          <a:srgbClr val="FCE4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'Team Leadership'!$H$5</c:f>
              <c:strCache>
                <c:ptCount val="1"/>
                <c:pt idx="0">
                  <c:v>Value Delivered</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Leadership'!$A$6:$A$11</c:f>
              <c:strCache>
                <c:ptCount val="6"/>
                <c:pt idx="0">
                  <c:v>Naman Kumar</c:v>
                </c:pt>
                <c:pt idx="1">
                  <c:v>Aisha Patel</c:v>
                </c:pt>
                <c:pt idx="2">
                  <c:v>Ravi Singh</c:v>
                </c:pt>
                <c:pt idx="3">
                  <c:v>Meera Shah</c:v>
                </c:pt>
                <c:pt idx="4">
                  <c:v>Daniel Lee</c:v>
                </c:pt>
                <c:pt idx="5">
                  <c:v>Fatima Khan</c:v>
                </c:pt>
              </c:strCache>
            </c:strRef>
          </c:cat>
          <c:val>
            <c:numRef>
              <c:f>'Team Leadership'!$H$6:$H$11</c:f>
              <c:numCache>
                <c:formatCode>General</c:formatCode>
                <c:ptCount val="6"/>
                <c:pt idx="0">
                  <c:v>5323618</c:v>
                </c:pt>
                <c:pt idx="1">
                  <c:v>4808184</c:v>
                </c:pt>
                <c:pt idx="2">
                  <c:v>4910632</c:v>
                </c:pt>
                <c:pt idx="3">
                  <c:v>4571149</c:v>
                </c:pt>
                <c:pt idx="4">
                  <c:v>5119850</c:v>
                </c:pt>
                <c:pt idx="5">
                  <c:v>4607412</c:v>
                </c:pt>
              </c:numCache>
            </c:numRef>
          </c:val>
          <c:extLst>
            <c:ext xmlns:c16="http://schemas.microsoft.com/office/drawing/2014/chart" uri="{C3380CC4-5D6E-409C-BE32-E72D297353CC}">
              <c16:uniqueId val="{00000000-055A-40A4-9FFE-AD3E1CCA6710}"/>
            </c:ext>
          </c:extLst>
        </c:ser>
        <c:dLbls>
          <c:showLegendKey val="0"/>
          <c:showVal val="0"/>
          <c:showCatName val="0"/>
          <c:showSerName val="0"/>
          <c:showPercent val="0"/>
          <c:showBubbleSize val="0"/>
        </c:dLbls>
        <c:gapWidth val="182"/>
        <c:axId val="2035692552"/>
        <c:axId val="2035694600"/>
      </c:barChart>
      <c:catAx>
        <c:axId val="2035692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Manager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94600"/>
        <c:crosses val="autoZero"/>
        <c:auto val="1"/>
        <c:lblAlgn val="ctr"/>
        <c:lblOffset val="100"/>
        <c:noMultiLvlLbl val="0"/>
      </c:catAx>
      <c:valAx>
        <c:axId val="2035694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92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238125</xdr:colOff>
      <xdr:row>12</xdr:row>
      <xdr:rowOff>438150</xdr:rowOff>
    </xdr:from>
    <xdr:to>
      <xdr:col>3</xdr:col>
      <xdr:colOff>1419225</xdr:colOff>
      <xdr:row>14</xdr:row>
      <xdr:rowOff>9525</xdr:rowOff>
    </xdr:to>
    <xdr:sp macro="" textlink="">
      <xdr:nvSpPr>
        <xdr:cNvPr id="2" name="Choose Sheet Arrow">
          <a:extLst>
            <a:ext uri="{FF2B5EF4-FFF2-40B4-BE49-F238E27FC236}">
              <a16:creationId xmlns:a16="http://schemas.microsoft.com/office/drawing/2014/main" id="{706F7F74-BE83-4837-B1B2-896F450C63EC}"/>
            </a:ext>
          </a:extLst>
        </xdr:cNvPr>
        <xdr:cNvSpPr/>
      </xdr:nvSpPr>
      <xdr:spPr>
        <a:xfrm>
          <a:off x="5448300" y="2733675"/>
          <a:ext cx="1438275" cy="466725"/>
        </a:xfrm>
        <a:prstGeom prst="rightArrow">
          <a:avLst/>
        </a:prstGeom>
        <a:solidFill>
          <a:schemeClr val="accent4">
            <a:lumMod val="40000"/>
            <a:lumOff val="60000"/>
          </a:schemeClr>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0" lang="en-US" sz="1100" b="1" i="0" u="none" strike="noStrike" kern="0" cap="none" spc="0" normalizeH="0" baseline="0" noProof="0">
              <a:ln>
                <a:noFill/>
              </a:ln>
              <a:solidFill>
                <a:srgbClr val="7F6000"/>
              </a:solidFill>
              <a:effectLst/>
              <a:uLnTx/>
              <a:uFillTx/>
              <a:latin typeface="Calibri" panose="020F0502020204030204"/>
            </a:rPr>
            <a:t>CHOOSE</a:t>
          </a:r>
        </a:p>
      </xdr:txBody>
    </xdr:sp>
    <xdr:clientData/>
  </xdr:twoCellAnchor>
  <xdr:twoCellAnchor>
    <xdr:from>
      <xdr:col>4</xdr:col>
      <xdr:colOff>1609725</xdr:colOff>
      <xdr:row>12</xdr:row>
      <xdr:rowOff>209550</xdr:rowOff>
    </xdr:from>
    <xdr:to>
      <xdr:col>4</xdr:col>
      <xdr:colOff>1847850</xdr:colOff>
      <xdr:row>12</xdr:row>
      <xdr:rowOff>409575</xdr:rowOff>
    </xdr:to>
    <xdr:sp macro="" textlink="">
      <xdr:nvSpPr>
        <xdr:cNvPr id="4" name="Down Arrow 3">
          <a:extLst>
            <a:ext uri="{FF2B5EF4-FFF2-40B4-BE49-F238E27FC236}">
              <a16:creationId xmlns:a16="http://schemas.microsoft.com/office/drawing/2014/main" id="{E8549F2A-A16E-07BE-B072-148C9D0B1A41}"/>
            </a:ext>
            <a:ext uri="{147F2762-F138-4A5C-976F-8EAC2B608ADB}">
              <a16:predDERef xmlns:a16="http://schemas.microsoft.com/office/drawing/2014/main" pred="{706F7F74-BE83-4837-B1B2-896F450C63EC}"/>
            </a:ext>
          </a:extLst>
        </xdr:cNvPr>
        <xdr:cNvSpPr/>
      </xdr:nvSpPr>
      <xdr:spPr>
        <a:xfrm>
          <a:off x="8772525" y="2505075"/>
          <a:ext cx="238125" cy="200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771525</xdr:colOff>
      <xdr:row>12</xdr:row>
      <xdr:rowOff>57150</xdr:rowOff>
    </xdr:from>
    <xdr:to>
      <xdr:col>26</xdr:col>
      <xdr:colOff>9525</xdr:colOff>
      <xdr:row>44</xdr:row>
      <xdr:rowOff>0</xdr:rowOff>
    </xdr:to>
    <xdr:graphicFrame macro="">
      <xdr:nvGraphicFramePr>
        <xdr:cNvPr id="2" name="Monthly Cost Trend">
          <a:extLst>
            <a:ext uri="{FF2B5EF4-FFF2-40B4-BE49-F238E27FC236}">
              <a16:creationId xmlns:a16="http://schemas.microsoft.com/office/drawing/2014/main" id="{95B18C2A-8E4E-7DE7-F21D-AE0C1465E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733425</xdr:colOff>
      <xdr:row>12</xdr:row>
      <xdr:rowOff>66675</xdr:rowOff>
    </xdr:from>
    <xdr:to>
      <xdr:col>11</xdr:col>
      <xdr:colOff>790575</xdr:colOff>
      <xdr:row>27</xdr:row>
      <xdr:rowOff>47625</xdr:rowOff>
    </xdr:to>
    <xdr:graphicFrame macro="">
      <xdr:nvGraphicFramePr>
        <xdr:cNvPr id="3" name="Projects by Status">
          <a:extLst>
            <a:ext uri="{FF2B5EF4-FFF2-40B4-BE49-F238E27FC236}">
              <a16:creationId xmlns:a16="http://schemas.microsoft.com/office/drawing/2014/main" id="{85E88EA6-F551-2D3C-B749-5E0C2F10DF37}"/>
            </a:ext>
            <a:ext uri="{147F2762-F138-4A5C-976F-8EAC2B608ADB}">
              <a16:predDERef xmlns:a16="http://schemas.microsoft.com/office/drawing/2014/main" pred="{95B18C2A-8E4E-7DE7-F21D-AE0C1465E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733425</xdr:colOff>
      <xdr:row>27</xdr:row>
      <xdr:rowOff>47625</xdr:rowOff>
    </xdr:from>
    <xdr:to>
      <xdr:col>11</xdr:col>
      <xdr:colOff>762000</xdr:colOff>
      <xdr:row>44</xdr:row>
      <xdr:rowOff>0</xdr:rowOff>
    </xdr:to>
    <xdr:graphicFrame macro="">
      <xdr:nvGraphicFramePr>
        <xdr:cNvPr id="4" name="Value by Region">
          <a:extLst>
            <a:ext uri="{FF2B5EF4-FFF2-40B4-BE49-F238E27FC236}">
              <a16:creationId xmlns:a16="http://schemas.microsoft.com/office/drawing/2014/main" id="{EDF83FE6-4D96-9AC6-C6AB-F74C519929FD}"/>
            </a:ext>
            <a:ext uri="{147F2762-F138-4A5C-976F-8EAC2B608ADB}">
              <a16:predDERef xmlns:a16="http://schemas.microsoft.com/office/drawing/2014/main" pred="{85E88EA6-F551-2D3C-B749-5E0C2F10D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161925</xdr:colOff>
      <xdr:row>3</xdr:row>
      <xdr:rowOff>9525</xdr:rowOff>
    </xdr:from>
    <xdr:to>
      <xdr:col>6</xdr:col>
      <xdr:colOff>466725</xdr:colOff>
      <xdr:row>4</xdr:row>
      <xdr:rowOff>9525</xdr:rowOff>
    </xdr:to>
    <xdr:sp macro="" textlink="">
      <xdr:nvSpPr>
        <xdr:cNvPr id="5" name="Left Arrow 4">
          <a:extLst>
            <a:ext uri="{FF2B5EF4-FFF2-40B4-BE49-F238E27FC236}">
              <a16:creationId xmlns:a16="http://schemas.microsoft.com/office/drawing/2014/main" id="{BB9736B7-1D3A-412D-A4DD-B47F490F2594}"/>
            </a:ext>
            <a:ext uri="{147F2762-F138-4A5C-976F-8EAC2B608ADB}">
              <a16:predDERef xmlns:a16="http://schemas.microsoft.com/office/drawing/2014/main" pred="{EDF83FE6-4D96-9AC6-C6AB-F74C519929FD}"/>
            </a:ext>
          </a:extLst>
        </xdr:cNvPr>
        <xdr:cNvSpPr/>
      </xdr:nvSpPr>
      <xdr:spPr>
        <a:xfrm>
          <a:off x="5267325" y="695325"/>
          <a:ext cx="304800" cy="18097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28575</xdr:rowOff>
    </xdr:from>
    <xdr:to>
      <xdr:col>12</xdr:col>
      <xdr:colOff>76200</xdr:colOff>
      <xdr:row>52</xdr:row>
      <xdr:rowOff>66675</xdr:rowOff>
    </xdr:to>
    <xdr:graphicFrame macro="">
      <xdr:nvGraphicFramePr>
        <xdr:cNvPr id="2" name="Interactive Department Trend">
          <a:extLst>
            <a:ext uri="{FF2B5EF4-FFF2-40B4-BE49-F238E27FC236}">
              <a16:creationId xmlns:a16="http://schemas.microsoft.com/office/drawing/2014/main" id="{01BB2095-4DE6-DF4B-2FDF-C7996CD77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3</xdr:row>
      <xdr:rowOff>161925</xdr:rowOff>
    </xdr:from>
    <xdr:to>
      <xdr:col>3</xdr:col>
      <xdr:colOff>361950</xdr:colOff>
      <xdr:row>5</xdr:row>
      <xdr:rowOff>28575</xdr:rowOff>
    </xdr:to>
    <xdr:sp macro="" textlink="">
      <xdr:nvSpPr>
        <xdr:cNvPr id="3" name="Left Arrow 2">
          <a:extLst>
            <a:ext uri="{FF2B5EF4-FFF2-40B4-BE49-F238E27FC236}">
              <a16:creationId xmlns:a16="http://schemas.microsoft.com/office/drawing/2014/main" id="{BE0F6451-63A9-9C44-F6A1-B87E1A7C2C76}"/>
            </a:ext>
            <a:ext uri="{147F2762-F138-4A5C-976F-8EAC2B608ADB}">
              <a16:predDERef xmlns:a16="http://schemas.microsoft.com/office/drawing/2014/main" pred="{01BB2095-4DE6-DF4B-2FDF-C7996CD778D3}"/>
            </a:ext>
          </a:extLst>
        </xdr:cNvPr>
        <xdr:cNvSpPr/>
      </xdr:nvSpPr>
      <xdr:spPr>
        <a:xfrm>
          <a:off x="3571875" y="838200"/>
          <a:ext cx="276225" cy="2476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23</xdr:row>
      <xdr:rowOff>19050</xdr:rowOff>
    </xdr:from>
    <xdr:to>
      <xdr:col>4</xdr:col>
      <xdr:colOff>0</xdr:colOff>
      <xdr:row>24</xdr:row>
      <xdr:rowOff>9525</xdr:rowOff>
    </xdr:to>
    <xdr:sp macro="" textlink="">
      <xdr:nvSpPr>
        <xdr:cNvPr id="2" name="Left Arrow 1">
          <a:extLst>
            <a:ext uri="{FF2B5EF4-FFF2-40B4-BE49-F238E27FC236}">
              <a16:creationId xmlns:a16="http://schemas.microsoft.com/office/drawing/2014/main" id="{E59BB495-ED45-0C2B-4628-5B4FFF25A19D}"/>
            </a:ext>
          </a:extLst>
        </xdr:cNvPr>
        <xdr:cNvSpPr/>
      </xdr:nvSpPr>
      <xdr:spPr>
        <a:xfrm>
          <a:off x="4048125" y="4686300"/>
          <a:ext cx="533400" cy="190500"/>
        </a:xfrm>
        <a:prstGeom prst="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314325</xdr:colOff>
      <xdr:row>4</xdr:row>
      <xdr:rowOff>0</xdr:rowOff>
    </xdr:from>
    <xdr:to>
      <xdr:col>5</xdr:col>
      <xdr:colOff>638175</xdr:colOff>
      <xdr:row>4</xdr:row>
      <xdr:rowOff>180975</xdr:rowOff>
    </xdr:to>
    <xdr:sp macro="" textlink="">
      <xdr:nvSpPr>
        <xdr:cNvPr id="7" name="Left Arrow 6">
          <a:extLst>
            <a:ext uri="{FF2B5EF4-FFF2-40B4-BE49-F238E27FC236}">
              <a16:creationId xmlns:a16="http://schemas.microsoft.com/office/drawing/2014/main" id="{1D9AE65B-AE0A-4893-9589-8247434F5DF9}"/>
            </a:ext>
            <a:ext uri="{147F2762-F138-4A5C-976F-8EAC2B608ADB}">
              <a16:predDERef xmlns:a16="http://schemas.microsoft.com/office/drawing/2014/main" pred="{C80D27A4-D29B-49FD-A437-9C47BB89E985}"/>
            </a:ext>
          </a:extLst>
        </xdr:cNvPr>
        <xdr:cNvSpPr/>
      </xdr:nvSpPr>
      <xdr:spPr>
        <a:xfrm>
          <a:off x="7658100" y="866775"/>
          <a:ext cx="323850" cy="180975"/>
        </a:xfrm>
        <a:prstGeom prst="lef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190500</xdr:colOff>
      <xdr:row>4</xdr:row>
      <xdr:rowOff>0</xdr:rowOff>
    </xdr:from>
    <xdr:to>
      <xdr:col>2</xdr:col>
      <xdr:colOff>476250</xdr:colOff>
      <xdr:row>4</xdr:row>
      <xdr:rowOff>180975</xdr:rowOff>
    </xdr:to>
    <xdr:sp macro="" textlink="">
      <xdr:nvSpPr>
        <xdr:cNvPr id="8" name="Left Arrow 7">
          <a:extLst>
            <a:ext uri="{FF2B5EF4-FFF2-40B4-BE49-F238E27FC236}">
              <a16:creationId xmlns:a16="http://schemas.microsoft.com/office/drawing/2014/main" id="{65D7BC92-197D-4155-9536-9BC4CA1FB5B9}"/>
            </a:ext>
            <a:ext uri="{147F2762-F138-4A5C-976F-8EAC2B608ADB}">
              <a16:predDERef xmlns:a16="http://schemas.microsoft.com/office/drawing/2014/main" pred="{1D9AE65B-AE0A-4893-9589-8247434F5DF9}"/>
            </a:ext>
          </a:extLst>
        </xdr:cNvPr>
        <xdr:cNvSpPr/>
      </xdr:nvSpPr>
      <xdr:spPr>
        <a:xfrm>
          <a:off x="4200525" y="866775"/>
          <a:ext cx="285750" cy="180975"/>
        </a:xfrm>
        <a:prstGeom prst="lef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19</xdr:row>
      <xdr:rowOff>142875</xdr:rowOff>
    </xdr:from>
    <xdr:to>
      <xdr:col>2</xdr:col>
      <xdr:colOff>1333500</xdr:colOff>
      <xdr:row>28</xdr:row>
      <xdr:rowOff>85725</xdr:rowOff>
    </xdr:to>
    <mc:AlternateContent xmlns:mc="http://schemas.openxmlformats.org/markup-compatibility/2006" xmlns:a14="http://schemas.microsoft.com/office/drawing/2010/main">
      <mc:Choice Requires="a14">
        <xdr:graphicFrame macro="">
          <xdr:nvGraphicFramePr>
            <xdr:cNvPr id="2" name="Region Slicer">
              <a:extLst>
                <a:ext uri="{FF2B5EF4-FFF2-40B4-BE49-F238E27FC236}">
                  <a16:creationId xmlns:a16="http://schemas.microsoft.com/office/drawing/2014/main" id="{2BC5153D-33DE-F466-FC1D-471BBA6E1B09}"/>
                </a:ext>
              </a:extLst>
            </xdr:cNvPr>
            <xdr:cNvGraphicFramePr/>
          </xdr:nvGraphicFramePr>
          <xdr:xfrm>
            <a:off x="0" y="0"/>
            <a:ext cx="0" cy="0"/>
          </xdr:xfrm>
          <a:graphic>
            <a:graphicData uri="http://schemas.microsoft.com/office/drawing/2010/slicer">
              <sle:slicer xmlns:sle="http://schemas.microsoft.com/office/drawing/2010/slicer" name="Region Slicer"/>
            </a:graphicData>
          </a:graphic>
        </xdr:graphicFrame>
      </mc:Choice>
      <mc:Fallback xmlns="">
        <xdr:sp macro="" textlink="">
          <xdr:nvSpPr>
            <xdr:cNvPr id="0" name=""/>
            <xdr:cNvSpPr>
              <a:spLocks noTextEdit="1"/>
            </xdr:cNvSpPr>
          </xdr:nvSpPr>
          <xdr:spPr>
            <a:xfrm>
              <a:off x="0" y="2962275"/>
              <a:ext cx="1968500" cy="1905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1190625</xdr:colOff>
      <xdr:row>19</xdr:row>
      <xdr:rowOff>123825</xdr:rowOff>
    </xdr:from>
    <xdr:to>
      <xdr:col>6</xdr:col>
      <xdr:colOff>1114425</xdr:colOff>
      <xdr:row>28</xdr:row>
      <xdr:rowOff>47625</xdr:rowOff>
    </xdr:to>
    <mc:AlternateContent xmlns:mc="http://schemas.openxmlformats.org/markup-compatibility/2006" xmlns:a14="http://schemas.microsoft.com/office/drawing/2010/main">
      <mc:Choice Requires="a14">
        <xdr:graphicFrame macro="">
          <xdr:nvGraphicFramePr>
            <xdr:cNvPr id="3" name="Project Type Slicer">
              <a:extLst>
                <a:ext uri="{FF2B5EF4-FFF2-40B4-BE49-F238E27FC236}">
                  <a16:creationId xmlns:a16="http://schemas.microsoft.com/office/drawing/2014/main" id="{BF6F2197-A866-49FD-18C3-C7BDBA6F2933}"/>
                </a:ext>
                <a:ext uri="{147F2762-F138-4A5C-976F-8EAC2B608ADB}">
                  <a16:predDERef xmlns:a16="http://schemas.microsoft.com/office/drawing/2014/main" pred="{2BC5153D-33DE-F466-FC1D-471BBA6E1B09}"/>
                </a:ext>
              </a:extLst>
            </xdr:cNvPr>
            <xdr:cNvGraphicFramePr/>
          </xdr:nvGraphicFramePr>
          <xdr:xfrm>
            <a:off x="0" y="0"/>
            <a:ext cx="0" cy="0"/>
          </xdr:xfrm>
          <a:graphic>
            <a:graphicData uri="http://schemas.microsoft.com/office/drawing/2010/slicer">
              <sle:slicer xmlns:sle="http://schemas.microsoft.com/office/drawing/2010/slicer" name="Project Type Slicer"/>
            </a:graphicData>
          </a:graphic>
        </xdr:graphicFrame>
      </mc:Choice>
      <mc:Fallback xmlns="">
        <xdr:sp macro="" textlink="">
          <xdr:nvSpPr>
            <xdr:cNvPr id="0" name=""/>
            <xdr:cNvSpPr>
              <a:spLocks noTextEdit="1"/>
            </xdr:cNvSpPr>
          </xdr:nvSpPr>
          <xdr:spPr>
            <a:xfrm>
              <a:off x="3448050" y="2962275"/>
              <a:ext cx="2222500" cy="1905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5</xdr:col>
      <xdr:colOff>276225</xdr:colOff>
      <xdr:row>18</xdr:row>
      <xdr:rowOff>0</xdr:rowOff>
    </xdr:from>
    <xdr:to>
      <xdr:col>5</xdr:col>
      <xdr:colOff>571500</xdr:colOff>
      <xdr:row>19</xdr:row>
      <xdr:rowOff>95250</xdr:rowOff>
    </xdr:to>
    <xdr:sp macro="" textlink="">
      <xdr:nvSpPr>
        <xdr:cNvPr id="4" name="Down Arrow 3">
          <a:extLst>
            <a:ext uri="{FF2B5EF4-FFF2-40B4-BE49-F238E27FC236}">
              <a16:creationId xmlns:a16="http://schemas.microsoft.com/office/drawing/2014/main" id="{347AAE1F-309D-1396-133A-150422F486AE}"/>
            </a:ext>
            <a:ext uri="{147F2762-F138-4A5C-976F-8EAC2B608ADB}">
              <a16:predDERef xmlns:a16="http://schemas.microsoft.com/office/drawing/2014/main" pred="{BF6F2197-A866-49FD-18C3-C7BDBA6F2933}"/>
            </a:ext>
          </a:extLst>
        </xdr:cNvPr>
        <xdr:cNvSpPr/>
      </xdr:nvSpPr>
      <xdr:spPr>
        <a:xfrm flipH="1">
          <a:off x="6372225" y="3533775"/>
          <a:ext cx="295275" cy="28575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a:p>
      </xdr:txBody>
    </xdr:sp>
    <xdr:clientData/>
  </xdr:twoCellAnchor>
  <xdr:twoCellAnchor>
    <xdr:from>
      <xdr:col>1</xdr:col>
      <xdr:colOff>571500</xdr:colOff>
      <xdr:row>18</xdr:row>
      <xdr:rowOff>0</xdr:rowOff>
    </xdr:from>
    <xdr:to>
      <xdr:col>1</xdr:col>
      <xdr:colOff>866775</xdr:colOff>
      <xdr:row>19</xdr:row>
      <xdr:rowOff>95250</xdr:rowOff>
    </xdr:to>
    <xdr:sp macro="" textlink="">
      <xdr:nvSpPr>
        <xdr:cNvPr id="5" name="Down Arrow 4">
          <a:extLst>
            <a:ext uri="{FF2B5EF4-FFF2-40B4-BE49-F238E27FC236}">
              <a16:creationId xmlns:a16="http://schemas.microsoft.com/office/drawing/2014/main" id="{FEB27FC5-9199-4768-B434-2A6D4F671A8D}"/>
            </a:ext>
            <a:ext uri="{147F2762-F138-4A5C-976F-8EAC2B608ADB}">
              <a16:predDERef xmlns:a16="http://schemas.microsoft.com/office/drawing/2014/main" pred="{347AAE1F-309D-1396-133A-150422F486AE}"/>
            </a:ext>
          </a:extLst>
        </xdr:cNvPr>
        <xdr:cNvSpPr/>
      </xdr:nvSpPr>
      <xdr:spPr>
        <a:xfrm flipH="1">
          <a:off x="1371600" y="3533775"/>
          <a:ext cx="295275" cy="28575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819150</xdr:colOff>
      <xdr:row>0</xdr:row>
      <xdr:rowOff>0</xdr:rowOff>
    </xdr:from>
    <xdr:to>
      <xdr:col>23</xdr:col>
      <xdr:colOff>9525</xdr:colOff>
      <xdr:row>14</xdr:row>
      <xdr:rowOff>28575</xdr:rowOff>
    </xdr:to>
    <xdr:graphicFrame macro="">
      <xdr:nvGraphicFramePr>
        <xdr:cNvPr id="2" name="Department Business Value">
          <a:extLst>
            <a:ext uri="{FF2B5EF4-FFF2-40B4-BE49-F238E27FC236}">
              <a16:creationId xmlns:a16="http://schemas.microsoft.com/office/drawing/2014/main" id="{B6587448-74BF-B059-9922-FE53F0AC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714375</xdr:colOff>
      <xdr:row>14</xdr:row>
      <xdr:rowOff>19050</xdr:rowOff>
    </xdr:from>
    <xdr:to>
      <xdr:col>23</xdr:col>
      <xdr:colOff>9525</xdr:colOff>
      <xdr:row>40</xdr:row>
      <xdr:rowOff>114300</xdr:rowOff>
    </xdr:to>
    <xdr:graphicFrame macro="">
      <xdr:nvGraphicFramePr>
        <xdr:cNvPr id="3" name="Portfolio Monthly Trend">
          <a:extLst>
            <a:ext uri="{FF2B5EF4-FFF2-40B4-BE49-F238E27FC236}">
              <a16:creationId xmlns:a16="http://schemas.microsoft.com/office/drawing/2014/main" id="{4B4F9BE1-AF89-60C4-E761-206FB85A255D}"/>
            </a:ext>
            <a:ext uri="{147F2762-F138-4A5C-976F-8EAC2B608ADB}">
              <a16:predDERef xmlns:a16="http://schemas.microsoft.com/office/drawing/2014/main" pred="{B6587448-74BF-B059-9922-FE53F0AC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9525</xdr:rowOff>
    </xdr:from>
    <xdr:to>
      <xdr:col>9</xdr:col>
      <xdr:colOff>733425</xdr:colOff>
      <xdr:row>40</xdr:row>
      <xdr:rowOff>114300</xdr:rowOff>
    </xdr:to>
    <xdr:graphicFrame macro="">
      <xdr:nvGraphicFramePr>
        <xdr:cNvPr id="4" name="Manager Value Delivered">
          <a:extLst>
            <a:ext uri="{FF2B5EF4-FFF2-40B4-BE49-F238E27FC236}">
              <a16:creationId xmlns:a16="http://schemas.microsoft.com/office/drawing/2014/main" id="{B93480D3-341D-26C4-D231-9F02D29BAF52}"/>
            </a:ext>
            <a:ext uri="{147F2762-F138-4A5C-976F-8EAC2B608ADB}">
              <a16:predDERef xmlns:a16="http://schemas.microsoft.com/office/drawing/2014/main" pred="{4B4F9BE1-AF89-60C4-E761-206FB85A2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4.767176851848" createdVersion="8" refreshedVersion="8" minRefreshableVersion="3" recordCount="120" xr:uid="{86410AEE-9AC8-4E04-B0C2-346E2DBEE98E}">
  <cacheSource type="worksheet">
    <worksheetSource name="tblProjects"/>
  </cacheSource>
  <cacheFields count="19">
    <cacheField name="Project ID" numFmtId="0">
      <sharedItems/>
    </cacheField>
    <cacheField name="Project Name" numFmtId="0">
      <sharedItems/>
    </cacheField>
    <cacheField name="Start Date" numFmtId="164">
      <sharedItems containsSemiMixedTypes="0" containsNonDate="0" containsDate="1" containsString="0" minDate="2025-01-01T00:00:00" maxDate="2026-12-26T00:00:00"/>
    </cacheField>
    <cacheField name="Month" numFmtId="0">
      <sharedItems/>
    </cacheField>
    <cacheField name="Quarter" numFmtId="0">
      <sharedItems/>
    </cacheField>
    <cacheField name="Region" numFmtId="0">
      <sharedItems count="5">
        <s v="North"/>
        <s v="South"/>
        <s v="East"/>
        <s v="West"/>
        <s v="Central"/>
      </sharedItems>
    </cacheField>
    <cacheField name="Department" numFmtId="0">
      <sharedItems/>
    </cacheField>
    <cacheField name="Project Type" numFmtId="0">
      <sharedItems count="5">
        <s v="Asset Mapping"/>
        <s v="Data Quality"/>
        <s v="Field Survey"/>
        <s v="Spatial Analysis"/>
        <s v="Dashboard"/>
      </sharedItems>
    </cacheField>
    <cacheField name="Manager" numFmtId="0">
      <sharedItems/>
    </cacheField>
    <cacheField name="Status" numFmtId="0">
      <sharedItems count="4">
        <s v="Active"/>
        <s v="On Hold"/>
        <s v="At Risk"/>
        <s v="Complete"/>
      </sharedItems>
    </cacheField>
    <cacheField name="Budget" numFmtId="165">
      <sharedItems containsSemiMixedTypes="0" containsString="0" containsNumber="1" containsInteger="1" minValue="55000" maxValue="297998"/>
    </cacheField>
    <cacheField name="Actual Cost" numFmtId="165">
      <sharedItems containsSemiMixedTypes="0" containsString="0" containsNumber="1" containsInteger="1" minValue="45100" maxValue="345678"/>
    </cacheField>
    <cacheField name="Business Value" numFmtId="165">
      <sharedItems containsSemiMixedTypes="0" containsString="0" containsNumber="1" containsInteger="1" minValue="53218" maxValue="493641"/>
    </cacheField>
    <cacheField name="Hours" numFmtId="3">
      <sharedItems containsSemiMixedTypes="0" containsString="0" containsNumber="1" containsInteger="1" minValue="180" maxValue="1581"/>
    </cacheField>
    <cacheField name="Team Size" numFmtId="3">
      <sharedItems containsSemiMixedTypes="0" containsString="0" containsNumber="1" containsInteger="1" minValue="3" maxValue="14"/>
    </cacheField>
    <cacheField name="Completion %" numFmtId="9">
      <sharedItems containsSemiMixedTypes="0" containsString="0" containsNumber="1" minValue="0.16999999999999998" maxValue="1"/>
    </cacheField>
    <cacheField name="Risk Score" numFmtId="1">
      <sharedItems containsSemiMixedTypes="0" containsString="0" containsNumber="1" containsInteger="1" minValue="1" maxValue="10"/>
    </cacheField>
    <cacheField name="X Coordinate" numFmtId="166">
      <sharedItems containsSemiMixedTypes="0" containsString="0" containsNumber="1" minValue="72.5" maxValue="75.16"/>
    </cacheField>
    <cacheField name="Y Coordinate" numFmtId="166">
      <sharedItems containsSemiMixedTypes="0" containsString="0" containsNumber="1" minValue="18.7" maxValue="20.239999999999998"/>
    </cacheField>
  </cacheFields>
  <extLst>
    <ext xmlns:x14="http://schemas.microsoft.com/office/spreadsheetml/2009/9/main" uri="{725AE2AE-9491-48be-B2B4-4EB974FC3084}">
      <x14:pivotCacheDefinition pivotCacheId="8715482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GIS-001"/>
    <s v="North Asset Mapping 01"/>
    <d v="2025-01-01T00:00:00"/>
    <s v="2025-01"/>
    <s v="Q1 2025"/>
    <x v="0"/>
    <s v="Operations"/>
    <x v="0"/>
    <s v="Ravi Singh"/>
    <x v="0"/>
    <n v="55000"/>
    <n v="45100"/>
    <n v="53218"/>
    <n v="180"/>
    <n v="3"/>
    <n v="0.35"/>
    <n v="1"/>
    <n v="72.5"/>
    <n v="18.7"/>
  </r>
  <r>
    <s v="GIS-002"/>
    <s v="South Data Quality 02"/>
    <d v="2025-02-08T00:00:00"/>
    <s v="2025-02"/>
    <s v="Q1 2025"/>
    <x v="1"/>
    <s v="Utilities"/>
    <x v="1"/>
    <s v="Aisha Patel"/>
    <x v="1"/>
    <n v="72357"/>
    <n v="68739"/>
    <n v="88673"/>
    <n v="253"/>
    <n v="8"/>
    <n v="0.16999999999999998"/>
    <n v="7"/>
    <n v="72.64"/>
    <n v="18.809999999999999"/>
  </r>
  <r>
    <s v="GIS-003"/>
    <s v="East Field Survey 03"/>
    <d v="2025-03-15T00:00:00"/>
    <s v="2025-03"/>
    <s v="Q1 2025"/>
    <x v="2"/>
    <s v="Transport"/>
    <x v="2"/>
    <s v="Naman Kumar"/>
    <x v="2"/>
    <n v="89714"/>
    <n v="96891"/>
    <n v="135647"/>
    <n v="326"/>
    <n v="13"/>
    <n v="0.31"/>
    <n v="9"/>
    <n v="72.78"/>
    <n v="18.920000000000002"/>
  </r>
  <r>
    <s v="GIS-004"/>
    <s v="West Spatial Analysis 04"/>
    <d v="2025-04-22T00:00:00"/>
    <s v="2025-04"/>
    <s v="Q2 2025"/>
    <x v="3"/>
    <s v="Planning"/>
    <x v="3"/>
    <s v="Fatima Khan"/>
    <x v="3"/>
    <n v="107071"/>
    <n v="89940"/>
    <n v="135809"/>
    <n v="399"/>
    <n v="6"/>
    <n v="1"/>
    <n v="4"/>
    <n v="72.92"/>
    <n v="19.03"/>
  </r>
  <r>
    <s v="GIS-005"/>
    <s v="Central Dashboard 05"/>
    <d v="2025-05-04T00:00:00"/>
    <s v="2025-05"/>
    <s v="Q2 2025"/>
    <x v="4"/>
    <s v="Environment"/>
    <x v="4"/>
    <s v="Daniel Lee"/>
    <x v="0"/>
    <n v="124428"/>
    <n v="120695"/>
    <n v="195526"/>
    <n v="472"/>
    <n v="11"/>
    <n v="0.63"/>
    <n v="1"/>
    <n v="73.06"/>
    <n v="19.14"/>
  </r>
  <r>
    <s v="GIS-006"/>
    <s v="North Asset Mapping 06"/>
    <d v="2025-06-11T00:00:00"/>
    <s v="2025-06"/>
    <s v="Q2 2025"/>
    <x v="0"/>
    <s v="Planning"/>
    <x v="0"/>
    <s v="Meera Shah"/>
    <x v="1"/>
    <n v="141785"/>
    <n v="155964"/>
    <n v="194955"/>
    <n v="545"/>
    <n v="4"/>
    <n v="0.25"/>
    <n v="8"/>
    <n v="73.2"/>
    <n v="19.25"/>
  </r>
  <r>
    <s v="GIS-007"/>
    <s v="South Data Quality 07"/>
    <d v="2025-07-18T00:00:00"/>
    <s v="2025-07"/>
    <s v="Q3 2025"/>
    <x v="1"/>
    <s v="Environment"/>
    <x v="1"/>
    <s v="Ravi Singh"/>
    <x v="2"/>
    <n v="159142"/>
    <n v="136862"/>
    <n v="186132"/>
    <n v="618"/>
    <n v="9"/>
    <n v="0.43"/>
    <n v="9"/>
    <n v="73.34"/>
    <n v="19.36"/>
  </r>
  <r>
    <s v="GIS-008"/>
    <s v="East Field Survey 08"/>
    <d v="2025-08-25T00:00:00"/>
    <s v="2025-08"/>
    <s v="Q3 2025"/>
    <x v="2"/>
    <s v="Operations"/>
    <x v="2"/>
    <s v="Aisha Patel"/>
    <x v="3"/>
    <n v="176499"/>
    <n v="174734"/>
    <n v="256859"/>
    <n v="691"/>
    <n v="14"/>
    <n v="1"/>
    <n v="4"/>
    <n v="73.48"/>
    <n v="19.47"/>
  </r>
  <r>
    <s v="GIS-009"/>
    <s v="West Spatial Analysis 09"/>
    <d v="2025-09-07T00:00:00"/>
    <s v="2025-09"/>
    <s v="Q3 2025"/>
    <x v="3"/>
    <s v="Utilities"/>
    <x v="3"/>
    <s v="Naman Kumar"/>
    <x v="0"/>
    <n v="193856"/>
    <n v="217119"/>
    <n v="343048"/>
    <n v="764"/>
    <n v="7"/>
    <n v="0.36"/>
    <n v="1"/>
    <n v="73.62"/>
    <n v="19.579999999999998"/>
  </r>
  <r>
    <s v="GIS-010"/>
    <s v="Central Dashboard 10"/>
    <d v="2025-10-14T00:00:00"/>
    <s v="2025-10"/>
    <s v="Q4 2025"/>
    <x v="4"/>
    <s v="Transport"/>
    <x v="4"/>
    <s v="Fatima Khan"/>
    <x v="0"/>
    <n v="211213"/>
    <n v="185867"/>
    <n v="224899"/>
    <n v="837"/>
    <n v="12"/>
    <n v="0.43"/>
    <n v="4"/>
    <n v="73.760000000000005"/>
    <n v="19.690000000000001"/>
  </r>
  <r>
    <s v="GIS-011"/>
    <s v="North Asset Mapping 11"/>
    <d v="2025-11-21T00:00:00"/>
    <s v="2025-11"/>
    <s v="Q4 2025"/>
    <x v="0"/>
    <s v="Utilities"/>
    <x v="0"/>
    <s v="Daniel Lee"/>
    <x v="1"/>
    <n v="228570"/>
    <n v="230856"/>
    <n v="304730"/>
    <n v="910"/>
    <n v="5"/>
    <n v="0.35"/>
    <n v="7"/>
    <n v="73.900000000000006"/>
    <n v="19.8"/>
  </r>
  <r>
    <s v="GIS-012"/>
    <s v="South Data Quality 12"/>
    <d v="2025-12-03T00:00:00"/>
    <s v="2025-12"/>
    <s v="Q4 2025"/>
    <x v="1"/>
    <s v="Transport"/>
    <x v="1"/>
    <s v="Meera Shah"/>
    <x v="2"/>
    <n v="245927"/>
    <n v="280357"/>
    <n v="400911"/>
    <n v="983"/>
    <n v="10"/>
    <n v="0.58000000000000007"/>
    <n v="10"/>
    <n v="74.040000000000006"/>
    <n v="19.91"/>
  </r>
  <r>
    <s v="GIS-013"/>
    <s v="East Field Survey 13"/>
    <d v="2025-01-10T00:00:00"/>
    <s v="2025-01"/>
    <s v="Q1 2025"/>
    <x v="2"/>
    <s v="Planning"/>
    <x v="2"/>
    <s v="Ravi Singh"/>
    <x v="3"/>
    <n v="263284"/>
    <n v="236956"/>
    <n v="364912"/>
    <n v="1056"/>
    <n v="3"/>
    <n v="1"/>
    <n v="1"/>
    <n v="74.180000000000007"/>
    <n v="20.02"/>
  </r>
  <r>
    <s v="GIS-014"/>
    <s v="West Spatial Analysis 14"/>
    <d v="2025-02-17T00:00:00"/>
    <s v="2025-02"/>
    <s v="Q1 2025"/>
    <x v="3"/>
    <s v="Environment"/>
    <x v="3"/>
    <s v="Aisha Patel"/>
    <x v="0"/>
    <n v="280641"/>
    <n v="289060"/>
    <n v="476949"/>
    <n v="1129"/>
    <n v="8"/>
    <n v="0.71"/>
    <n v="4"/>
    <n v="74.319999999999993"/>
    <n v="20.13"/>
  </r>
  <r>
    <s v="GIS-015"/>
    <s v="Central Dashboard 15"/>
    <d v="2025-03-24T00:00:00"/>
    <s v="2025-03"/>
    <s v="Q1 2025"/>
    <x v="4"/>
    <s v="Operations"/>
    <x v="4"/>
    <s v="Naman Kumar"/>
    <x v="1"/>
    <n v="297998"/>
    <n v="345678"/>
    <n v="442468"/>
    <n v="1202"/>
    <n v="13"/>
    <n v="0.43000000000000005"/>
    <n v="8"/>
    <n v="74.459999999999994"/>
    <n v="20.239999999999998"/>
  </r>
  <r>
    <s v="GIS-016"/>
    <s v="North Asset Mapping 16"/>
    <d v="2025-04-06T00:00:00"/>
    <s v="2025-04"/>
    <s v="Q2 2025"/>
    <x v="0"/>
    <s v="Environment"/>
    <x v="0"/>
    <s v="Fatima Khan"/>
    <x v="2"/>
    <n v="70355"/>
    <n v="64727"/>
    <n v="89971"/>
    <n v="1275"/>
    <n v="6"/>
    <n v="0.7"/>
    <n v="10"/>
    <n v="74.599999999999994"/>
    <n v="18.7"/>
  </r>
  <r>
    <s v="GIS-017"/>
    <s v="South Data Quality 17"/>
    <d v="2025-05-13T00:00:00"/>
    <s v="2025-05"/>
    <s v="Q2 2025"/>
    <x v="1"/>
    <s v="Operations"/>
    <x v="1"/>
    <s v="Daniel Lee"/>
    <x v="3"/>
    <n v="87712"/>
    <n v="92098"/>
    <n v="138147"/>
    <n v="1348"/>
    <n v="11"/>
    <n v="1"/>
    <n v="1"/>
    <n v="74.739999999999995"/>
    <n v="18.809999999999999"/>
  </r>
  <r>
    <s v="GIS-018"/>
    <s v="East Field Survey 18"/>
    <d v="2025-06-20T00:00:00"/>
    <s v="2025-06"/>
    <s v="Q2 2025"/>
    <x v="2"/>
    <s v="Utilities"/>
    <x v="2"/>
    <s v="Meera Shah"/>
    <x v="0"/>
    <n v="105069"/>
    <n v="123981"/>
    <n v="199609"/>
    <n v="1421"/>
    <n v="4"/>
    <n v="0.43999999999999995"/>
    <n v="4"/>
    <n v="74.88"/>
    <n v="18.920000000000002"/>
  </r>
  <r>
    <s v="GIS-019"/>
    <s v="West Spatial Analysis 19"/>
    <d v="2025-07-02T00:00:00"/>
    <s v="2025-07"/>
    <s v="Q3 2025"/>
    <x v="3"/>
    <s v="Transport"/>
    <x v="3"/>
    <s v="Ravi Singh"/>
    <x v="0"/>
    <n v="122426"/>
    <n v="115080"/>
    <n v="142699"/>
    <n v="1494"/>
    <n v="9"/>
    <n v="0.51"/>
    <n v="1"/>
    <n v="75.02"/>
    <n v="19.03"/>
  </r>
  <r>
    <s v="GIS-020"/>
    <s v="Central Dashboard 20"/>
    <d v="2025-08-09T00:00:00"/>
    <s v="2025-08"/>
    <s v="Q3 2025"/>
    <x v="4"/>
    <s v="Planning"/>
    <x v="4"/>
    <s v="Aisha Patel"/>
    <x v="1"/>
    <n v="139783"/>
    <n v="149568"/>
    <n v="201917"/>
    <n v="1567"/>
    <n v="14"/>
    <n v="0.18"/>
    <n v="7"/>
    <n v="75.16"/>
    <n v="19.14"/>
  </r>
  <r>
    <s v="GIS-021"/>
    <s v="North Asset Mapping 21"/>
    <d v="2025-09-16T00:00:00"/>
    <s v="2025-09"/>
    <s v="Q3 2025"/>
    <x v="0"/>
    <s v="Transport"/>
    <x v="0"/>
    <s v="Naman Kumar"/>
    <x v="2"/>
    <n v="157140"/>
    <n v="130426"/>
    <n v="190422"/>
    <n v="220"/>
    <n v="7"/>
    <n v="0.35"/>
    <n v="7"/>
    <n v="72.5"/>
    <n v="19.25"/>
  </r>
  <r>
    <s v="GIS-022"/>
    <s v="South Data Quality 22"/>
    <d v="2025-10-23T00:00:00"/>
    <s v="2025-10"/>
    <s v="Q4 2025"/>
    <x v="1"/>
    <s v="Planning"/>
    <x v="1"/>
    <s v="Fatima Khan"/>
    <x v="3"/>
    <n v="174497"/>
    <n v="167517"/>
    <n v="263002"/>
    <n v="293"/>
    <n v="12"/>
    <n v="1"/>
    <n v="4"/>
    <n v="72.64"/>
    <n v="19.36"/>
  </r>
  <r>
    <s v="GIS-023"/>
    <s v="East Field Survey 23"/>
    <d v="2025-11-05T00:00:00"/>
    <s v="2025-11"/>
    <s v="Q4 2025"/>
    <x v="2"/>
    <s v="Environment"/>
    <x v="2"/>
    <s v="Daniel Lee"/>
    <x v="0"/>
    <n v="191854"/>
    <n v="209121"/>
    <n v="250945"/>
    <n v="366"/>
    <n v="5"/>
    <n v="0.79"/>
    <n v="1"/>
    <n v="72.78"/>
    <n v="19.47"/>
  </r>
  <r>
    <s v="GIS-024"/>
    <s v="West Spatial Analysis 24"/>
    <d v="2025-12-12T00:00:00"/>
    <s v="2025-12"/>
    <s v="Q4 2025"/>
    <x v="3"/>
    <s v="Operations"/>
    <x v="3"/>
    <s v="Meera Shah"/>
    <x v="1"/>
    <n v="209211"/>
    <n v="177829"/>
    <n v="232956"/>
    <n v="439"/>
    <n v="10"/>
    <n v="0.26"/>
    <n v="8"/>
    <n v="72.92"/>
    <n v="19.579999999999998"/>
  </r>
  <r>
    <s v="GIS-025"/>
    <s v="Central Dashboard 25"/>
    <d v="2025-01-19T00:00:00"/>
    <s v="2025-01"/>
    <s v="Q1 2025"/>
    <x v="4"/>
    <s v="Utilities"/>
    <x v="4"/>
    <s v="Ravi Singh"/>
    <x v="2"/>
    <n v="226568"/>
    <n v="222037"/>
    <n v="315293"/>
    <n v="512"/>
    <n v="3"/>
    <n v="0.47"/>
    <n v="7"/>
    <n v="73.06"/>
    <n v="19.690000000000001"/>
  </r>
  <r>
    <s v="GIS-026"/>
    <s v="North Asset Mapping 26"/>
    <d v="2025-02-01T00:00:00"/>
    <s v="2025-02"/>
    <s v="Q1 2025"/>
    <x v="0"/>
    <s v="Operations"/>
    <x v="0"/>
    <s v="Aisha Patel"/>
    <x v="3"/>
    <n v="243925"/>
    <n v="270757"/>
    <n v="414258"/>
    <n v="585"/>
    <n v="8"/>
    <n v="1"/>
    <n v="4"/>
    <n v="73.2"/>
    <n v="19.8"/>
  </r>
  <r>
    <s v="GIS-027"/>
    <s v="South Data Quality 27"/>
    <d v="2025-03-08T00:00:00"/>
    <s v="2025-03"/>
    <s v="Q1 2025"/>
    <x v="1"/>
    <s v="Utilities"/>
    <x v="1"/>
    <s v="Naman Kumar"/>
    <x v="0"/>
    <n v="261282"/>
    <n v="227315"/>
    <n v="372797"/>
    <n v="658"/>
    <n v="13"/>
    <n v="0.52"/>
    <n v="1"/>
    <n v="73.34"/>
    <n v="19.91"/>
  </r>
  <r>
    <s v="GIS-028"/>
    <s v="East Field Survey 28"/>
    <d v="2025-04-15T00:00:00"/>
    <s v="2025-04"/>
    <s v="Q2 2025"/>
    <x v="2"/>
    <s v="Transport"/>
    <x v="2"/>
    <s v="Fatima Khan"/>
    <x v="0"/>
    <n v="278639"/>
    <n v="278639"/>
    <n v="353872"/>
    <n v="731"/>
    <n v="6"/>
    <n v="0.59"/>
    <n v="4"/>
    <n v="73.48"/>
    <n v="20.02"/>
  </r>
  <r>
    <s v="GIS-029"/>
    <s v="West Spatial Analysis 29"/>
    <d v="2025-05-22T00:00:00"/>
    <s v="2025-05"/>
    <s v="Q2 2025"/>
    <x v="3"/>
    <s v="Planning"/>
    <x v="3"/>
    <s v="Daniel Lee"/>
    <x v="1"/>
    <n v="295996"/>
    <n v="334475"/>
    <n v="461575"/>
    <n v="804"/>
    <n v="11"/>
    <n v="0.36"/>
    <n v="7"/>
    <n v="73.62"/>
    <n v="20.13"/>
  </r>
  <r>
    <s v="GIS-030"/>
    <s v="Central Dashboard 30"/>
    <d v="2025-06-04T00:00:00"/>
    <s v="2025-06"/>
    <s v="Q2 2025"/>
    <x v="4"/>
    <s v="Environment"/>
    <x v="4"/>
    <s v="Meera Shah"/>
    <x v="2"/>
    <n v="68353"/>
    <n v="60834"/>
    <n v="90643"/>
    <n v="877"/>
    <n v="4"/>
    <n v="0.62"/>
    <n v="8"/>
    <n v="73.760000000000005"/>
    <n v="20.239999999999998"/>
  </r>
  <r>
    <s v="GIS-031"/>
    <s v="North Asset Mapping 31"/>
    <d v="2025-07-11T00:00:00"/>
    <s v="2025-07"/>
    <s v="Q3 2025"/>
    <x v="0"/>
    <s v="Planning"/>
    <x v="0"/>
    <s v="Ravi Singh"/>
    <x v="3"/>
    <n v="85710"/>
    <n v="87424"/>
    <n v="139878"/>
    <n v="950"/>
    <n v="9"/>
    <n v="1"/>
    <n v="1"/>
    <n v="73.900000000000006"/>
    <n v="18.7"/>
  </r>
  <r>
    <s v="GIS-032"/>
    <s v="South Data Quality 32"/>
    <d v="2025-08-18T00:00:00"/>
    <s v="2025-08"/>
    <s v="Q3 2025"/>
    <x v="1"/>
    <s v="Environment"/>
    <x v="1"/>
    <s v="Aisha Patel"/>
    <x v="0"/>
    <n v="103067"/>
    <n v="118527"/>
    <n v="145788"/>
    <n v="1023"/>
    <n v="14"/>
    <n v="0.87"/>
    <n v="4"/>
    <n v="74.040000000000006"/>
    <n v="18.809999999999999"/>
  </r>
  <r>
    <s v="GIS-033"/>
    <s v="East Field Survey 33"/>
    <d v="2025-09-25T00:00:00"/>
    <s v="2025-09"/>
    <s v="Q3 2025"/>
    <x v="2"/>
    <s v="Operations"/>
    <x v="2"/>
    <s v="Naman Kumar"/>
    <x v="1"/>
    <n v="120424"/>
    <n v="109586"/>
    <n v="146845"/>
    <n v="1096"/>
    <n v="7"/>
    <n v="0.43999999999999995"/>
    <n v="8"/>
    <n v="74.180000000000007"/>
    <n v="18.920000000000002"/>
  </r>
  <r>
    <s v="GIS-034"/>
    <s v="West Spatial Analysis 34"/>
    <d v="2025-10-07T00:00:00"/>
    <s v="2025-10"/>
    <s v="Q4 2025"/>
    <x v="3"/>
    <s v="Utilities"/>
    <x v="3"/>
    <s v="Fatima Khan"/>
    <x v="2"/>
    <n v="137781"/>
    <n v="143292"/>
    <n v="207773"/>
    <n v="1169"/>
    <n v="12"/>
    <n v="0.74"/>
    <n v="8"/>
    <n v="74.319999999999993"/>
    <n v="19.03"/>
  </r>
  <r>
    <s v="GIS-035"/>
    <s v="Central Dashboard 35"/>
    <d v="2025-11-14T00:00:00"/>
    <s v="2025-11"/>
    <s v="Q4 2025"/>
    <x v="4"/>
    <s v="Transport"/>
    <x v="4"/>
    <s v="Daniel Lee"/>
    <x v="3"/>
    <n v="155138"/>
    <n v="181511"/>
    <n v="283157"/>
    <n v="1242"/>
    <n v="5"/>
    <n v="1"/>
    <n v="1"/>
    <n v="74.459999999999994"/>
    <n v="19.14"/>
  </r>
  <r>
    <s v="GIS-036"/>
    <s v="North Asset Mapping 36"/>
    <d v="2025-12-21T00:00:00"/>
    <s v="2025-12"/>
    <s v="Q4 2025"/>
    <x v="0"/>
    <s v="Utilities"/>
    <x v="0"/>
    <s v="Meera Shah"/>
    <x v="0"/>
    <n v="172495"/>
    <n v="160420"/>
    <n v="190900"/>
    <n v="1315"/>
    <n v="10"/>
    <n v="0.6"/>
    <n v="4"/>
    <n v="74.599999999999994"/>
    <n v="19.25"/>
  </r>
  <r>
    <s v="GIS-037"/>
    <s v="South Data Quality 37"/>
    <d v="2025-01-03T00:00:00"/>
    <s v="2025-01"/>
    <s v="Q1 2025"/>
    <x v="1"/>
    <s v="Transport"/>
    <x v="1"/>
    <s v="Ravi Singh"/>
    <x v="0"/>
    <n v="189852"/>
    <n v="201243"/>
    <n v="261616"/>
    <n v="1388"/>
    <n v="3"/>
    <n v="0.66999999999999993"/>
    <n v="1"/>
    <n v="74.739999999999995"/>
    <n v="19.36"/>
  </r>
  <r>
    <s v="GIS-038"/>
    <s v="East Field Survey 38"/>
    <d v="2025-02-10T00:00:00"/>
    <s v="2025-02"/>
    <s v="Q1 2025"/>
    <x v="2"/>
    <s v="Planning"/>
    <x v="2"/>
    <s v="Aisha Patel"/>
    <x v="1"/>
    <n v="207209"/>
    <n v="169911"/>
    <n v="239575"/>
    <n v="1461"/>
    <n v="8"/>
    <n v="0.19"/>
    <n v="7"/>
    <n v="74.88"/>
    <n v="19.47"/>
  </r>
  <r>
    <s v="GIS-039"/>
    <s v="West Spatial Analysis 39"/>
    <d v="2025-03-17T00:00:00"/>
    <s v="2025-03"/>
    <s v="Q1 2025"/>
    <x v="3"/>
    <s v="Environment"/>
    <x v="3"/>
    <s v="Naman Kumar"/>
    <x v="2"/>
    <n v="224566"/>
    <n v="213338"/>
    <n v="324274"/>
    <n v="1534"/>
    <n v="13"/>
    <n v="0.39"/>
    <n v="9"/>
    <n v="75.02"/>
    <n v="19.579999999999998"/>
  </r>
  <r>
    <s v="GIS-040"/>
    <s v="Central Dashboard 40"/>
    <d v="2025-04-24T00:00:00"/>
    <s v="2025-04"/>
    <s v="Q2 2025"/>
    <x v="4"/>
    <s v="Operations"/>
    <x v="4"/>
    <s v="Fatima Khan"/>
    <x v="3"/>
    <n v="241923"/>
    <n v="261277"/>
    <n v="425882"/>
    <n v="187"/>
    <n v="6"/>
    <n v="1"/>
    <n v="4"/>
    <n v="75.16"/>
    <n v="19.690000000000001"/>
  </r>
  <r>
    <s v="GIS-041"/>
    <s v="North Asset Mapping 41"/>
    <d v="2025-05-06T00:00:00"/>
    <s v="2025-05"/>
    <s v="Q2 2025"/>
    <x v="0"/>
    <s v="Environment"/>
    <x v="0"/>
    <s v="Daniel Lee"/>
    <x v="0"/>
    <n v="259280"/>
    <n v="217795"/>
    <n v="274422"/>
    <n v="260"/>
    <n v="11"/>
    <n v="0.39999999999999997"/>
    <n v="1"/>
    <n v="72.5"/>
    <n v="19.8"/>
  </r>
  <r>
    <s v="GIS-042"/>
    <s v="South Data Quality 42"/>
    <d v="2025-06-13T00:00:00"/>
    <s v="2025-06"/>
    <s v="Q2 2025"/>
    <x v="1"/>
    <s v="Operations"/>
    <x v="1"/>
    <s v="Meera Shah"/>
    <x v="1"/>
    <n v="276637"/>
    <n v="268338"/>
    <n v="367623"/>
    <n v="333"/>
    <n v="4"/>
    <n v="0.27"/>
    <n v="8"/>
    <n v="72.64"/>
    <n v="19.91"/>
  </r>
  <r>
    <s v="GIS-043"/>
    <s v="East Field Survey 43"/>
    <d v="2025-07-20T00:00:00"/>
    <s v="2025-07"/>
    <s v="Q3 2025"/>
    <x v="2"/>
    <s v="Utilities"/>
    <x v="2"/>
    <s v="Ravi Singh"/>
    <x v="2"/>
    <n v="293994"/>
    <n v="323393"/>
    <n v="478622"/>
    <n v="406"/>
    <n v="9"/>
    <n v="0.51"/>
    <n v="9"/>
    <n v="72.78"/>
    <n v="20.02"/>
  </r>
  <r>
    <s v="GIS-044"/>
    <s v="West Spatial Analysis 44"/>
    <d v="2025-08-02T00:00:00"/>
    <s v="2025-08"/>
    <s v="Q3 2025"/>
    <x v="3"/>
    <s v="Transport"/>
    <x v="3"/>
    <s v="Aisha Patel"/>
    <x v="3"/>
    <n v="66351"/>
    <n v="57062"/>
    <n v="90729"/>
    <n v="479"/>
    <n v="14"/>
    <n v="1"/>
    <n v="4"/>
    <n v="72.92"/>
    <n v="20.13"/>
  </r>
  <r>
    <s v="GIS-045"/>
    <s v="Central Dashboard 45"/>
    <d v="2025-09-09T00:00:00"/>
    <s v="2025-09"/>
    <s v="Q3 2025"/>
    <x v="4"/>
    <s v="Planning"/>
    <x v="4"/>
    <s v="Naman Kumar"/>
    <x v="0"/>
    <n v="83708"/>
    <n v="82871"/>
    <n v="101103"/>
    <n v="552"/>
    <n v="7"/>
    <n v="0.67999999999999994"/>
    <n v="1"/>
    <n v="73.06"/>
    <n v="20.239999999999998"/>
  </r>
  <r>
    <s v="GIS-046"/>
    <s v="North Asset Mapping 46"/>
    <d v="2025-10-16T00:00:00"/>
    <s v="2025-10"/>
    <s v="Q4 2025"/>
    <x v="0"/>
    <s v="Transport"/>
    <x v="0"/>
    <s v="Fatima Khan"/>
    <x v="0"/>
    <n v="101065"/>
    <n v="113193"/>
    <n v="150547"/>
    <n v="625"/>
    <n v="12"/>
    <n v="0.75"/>
    <n v="4"/>
    <n v="73.2"/>
    <n v="18.7"/>
  </r>
  <r>
    <s v="GIS-047"/>
    <s v="South Data Quality 47"/>
    <d v="2025-11-23T00:00:00"/>
    <s v="2025-11"/>
    <s v="Q4 2025"/>
    <x v="1"/>
    <s v="Planning"/>
    <x v="1"/>
    <s v="Daniel Lee"/>
    <x v="1"/>
    <n v="118422"/>
    <n v="104211"/>
    <n v="150064"/>
    <n v="698"/>
    <n v="5"/>
    <n v="0.37"/>
    <n v="7"/>
    <n v="73.34"/>
    <n v="18.809999999999999"/>
  </r>
  <r>
    <s v="GIS-048"/>
    <s v="East Field Survey 48"/>
    <d v="2025-12-05T00:00:00"/>
    <s v="2025-12"/>
    <s v="Q4 2025"/>
    <x v="2"/>
    <s v="Environment"/>
    <x v="2"/>
    <s v="Meera Shah"/>
    <x v="2"/>
    <n v="135779"/>
    <n v="137137"/>
    <n v="212562"/>
    <n v="771"/>
    <n v="10"/>
    <n v="0.65999999999999992"/>
    <n v="10"/>
    <n v="73.48"/>
    <n v="18.920000000000002"/>
  </r>
  <r>
    <s v="GIS-049"/>
    <s v="West Spatial Analysis 49"/>
    <d v="2025-01-12T00:00:00"/>
    <s v="2025-01"/>
    <s v="Q1 2025"/>
    <x v="3"/>
    <s v="Operations"/>
    <x v="3"/>
    <s v="Ravi Singh"/>
    <x v="3"/>
    <n v="153136"/>
    <n v="174575"/>
    <n v="205999"/>
    <n v="844"/>
    <n v="3"/>
    <n v="1"/>
    <n v="1"/>
    <n v="73.62"/>
    <n v="19.03"/>
  </r>
  <r>
    <s v="GIS-050"/>
    <s v="Central Dashboard 50"/>
    <d v="2025-02-19T00:00:00"/>
    <s v="2025-02"/>
    <s v="Q1 2025"/>
    <x v="4"/>
    <s v="Utilities"/>
    <x v="4"/>
    <s v="Aisha Patel"/>
    <x v="0"/>
    <n v="170493"/>
    <n v="153444"/>
    <n v="197943"/>
    <n v="917"/>
    <n v="8"/>
    <n v="0.48"/>
    <n v="4"/>
    <n v="73.760000000000005"/>
    <n v="19.14"/>
  </r>
  <r>
    <s v="GIS-051"/>
    <s v="North Asset Mapping 51"/>
    <d v="2025-03-01T00:00:00"/>
    <s v="2025-03"/>
    <s v="Q1 2025"/>
    <x v="0"/>
    <s v="Operations"/>
    <x v="0"/>
    <s v="Naman Kumar"/>
    <x v="1"/>
    <n v="187850"/>
    <n v="193486"/>
    <n v="270880"/>
    <n v="990"/>
    <n v="13"/>
    <n v="0.44999999999999996"/>
    <n v="8"/>
    <n v="73.900000000000006"/>
    <n v="19.25"/>
  </r>
  <r>
    <s v="GIS-052"/>
    <s v="South Data Quality 52"/>
    <d v="2025-04-08T00:00:00"/>
    <s v="2025-04"/>
    <s v="Q2 2025"/>
    <x v="1"/>
    <s v="Utilities"/>
    <x v="1"/>
    <s v="Fatima Khan"/>
    <x v="2"/>
    <n v="205207"/>
    <n v="238040"/>
    <n v="359440"/>
    <n v="1063"/>
    <n v="6"/>
    <n v="0.28000000000000003"/>
    <n v="10"/>
    <n v="74.040000000000006"/>
    <n v="19.36"/>
  </r>
  <r>
    <s v="GIS-053"/>
    <s v="East Field Survey 53"/>
    <d v="2025-05-15T00:00:00"/>
    <s v="2025-05"/>
    <s v="Q2 2025"/>
    <x v="2"/>
    <s v="Transport"/>
    <x v="2"/>
    <s v="Daniel Lee"/>
    <x v="3"/>
    <n v="222564"/>
    <n v="204759"/>
    <n v="331710"/>
    <n v="1136"/>
    <n v="11"/>
    <n v="1"/>
    <n v="1"/>
    <n v="74.180000000000007"/>
    <n v="19.47"/>
  </r>
  <r>
    <s v="GIS-054"/>
    <s v="West Spatial Analysis 54"/>
    <d v="2025-06-22T00:00:00"/>
    <s v="2025-06"/>
    <s v="Q2 2025"/>
    <x v="3"/>
    <s v="Planning"/>
    <x v="3"/>
    <s v="Meera Shah"/>
    <x v="0"/>
    <n v="239921"/>
    <n v="251917"/>
    <n v="314896"/>
    <n v="1209"/>
    <n v="4"/>
    <n v="0.76"/>
    <n v="4"/>
    <n v="74.319999999999993"/>
    <n v="19.579999999999998"/>
  </r>
  <r>
    <s v="GIS-055"/>
    <s v="Central Dashboard 55"/>
    <d v="2025-07-04T00:00:00"/>
    <s v="2025-07"/>
    <s v="Q3 2025"/>
    <x v="4"/>
    <s v="Environment"/>
    <x v="4"/>
    <s v="Ravi Singh"/>
    <x v="0"/>
    <n v="257278"/>
    <n v="303588"/>
    <n v="412880"/>
    <n v="1282"/>
    <n v="9"/>
    <n v="0.83"/>
    <n v="1"/>
    <n v="74.459999999999994"/>
    <n v="19.690000000000001"/>
  </r>
  <r>
    <s v="GIS-056"/>
    <s v="North Asset Mapping 56"/>
    <d v="2025-08-11T00:00:00"/>
    <s v="2025-08"/>
    <s v="Q3 2025"/>
    <x v="0"/>
    <s v="Planning"/>
    <x v="0"/>
    <s v="Aisha Patel"/>
    <x v="1"/>
    <n v="274635"/>
    <n v="258157"/>
    <n v="379491"/>
    <n v="1355"/>
    <n v="14"/>
    <n v="0.2"/>
    <n v="7"/>
    <n v="74.599999999999994"/>
    <n v="19.8"/>
  </r>
  <r>
    <s v="GIS-057"/>
    <s v="South Data Quality 57"/>
    <d v="2025-09-18T00:00:00"/>
    <s v="2025-09"/>
    <s v="Q3 2025"/>
    <x v="1"/>
    <s v="Environment"/>
    <x v="1"/>
    <s v="Naman Kumar"/>
    <x v="2"/>
    <n v="291992"/>
    <n v="312431"/>
    <n v="493641"/>
    <n v="1428"/>
    <n v="7"/>
    <n v="0.43"/>
    <n v="7"/>
    <n v="74.739999999999995"/>
    <n v="19.91"/>
  </r>
  <r>
    <s v="GIS-058"/>
    <s v="East Field Survey 58"/>
    <d v="2025-10-25T00:00:00"/>
    <s v="2025-10"/>
    <s v="Q4 2025"/>
    <x v="2"/>
    <s v="Operations"/>
    <x v="2"/>
    <s v="Fatima Khan"/>
    <x v="3"/>
    <n v="64349"/>
    <n v="53410"/>
    <n v="64626"/>
    <n v="1501"/>
    <n v="12"/>
    <n v="1"/>
    <n v="4"/>
    <n v="74.88"/>
    <n v="20.02"/>
  </r>
  <r>
    <s v="GIS-059"/>
    <s v="West Spatial Analysis 59"/>
    <d v="2025-11-07T00:00:00"/>
    <s v="2025-11"/>
    <s v="Q4 2025"/>
    <x v="3"/>
    <s v="Utilities"/>
    <x v="3"/>
    <s v="Daniel Lee"/>
    <x v="0"/>
    <n v="81706"/>
    <n v="78438"/>
    <n v="103538"/>
    <n v="1574"/>
    <n v="5"/>
    <n v="0.55999999999999994"/>
    <n v="1"/>
    <n v="75.02"/>
    <n v="20.13"/>
  </r>
  <r>
    <s v="GIS-060"/>
    <s v="Central Dashboard 60"/>
    <d v="2025-12-14T00:00:00"/>
    <s v="2025-12"/>
    <s v="Q4 2025"/>
    <x v="4"/>
    <s v="Transport"/>
    <x v="4"/>
    <s v="Meera Shah"/>
    <x v="1"/>
    <n v="99063"/>
    <n v="107979"/>
    <n v="154410"/>
    <n v="227"/>
    <n v="10"/>
    <n v="0.28000000000000003"/>
    <n v="8"/>
    <n v="75.16"/>
    <n v="20.239999999999998"/>
  </r>
  <r>
    <s v="GIS-061"/>
    <s v="North Asset Mapping 61"/>
    <d v="2026-01-21T00:00:00"/>
    <s v="2026-01"/>
    <s v="Q1 2026"/>
    <x v="0"/>
    <s v="Utilities"/>
    <x v="0"/>
    <s v="Ravi Singh"/>
    <x v="2"/>
    <n v="116420"/>
    <n v="98957"/>
    <n v="152394"/>
    <n v="300"/>
    <n v="3"/>
    <n v="0.55000000000000004"/>
    <n v="7"/>
    <n v="72.5"/>
    <n v="18.7"/>
  </r>
  <r>
    <s v="GIS-062"/>
    <s v="South Data Quality 62"/>
    <d v="2026-02-03T00:00:00"/>
    <s v="2026-02"/>
    <s v="Q1 2026"/>
    <x v="1"/>
    <s v="Transport"/>
    <x v="1"/>
    <s v="Aisha Patel"/>
    <x v="3"/>
    <n v="133777"/>
    <n v="131101"/>
    <n v="216317"/>
    <n v="373"/>
    <n v="8"/>
    <n v="1"/>
    <n v="4"/>
    <n v="72.64"/>
    <n v="18.809999999999999"/>
  </r>
  <r>
    <s v="GIS-063"/>
    <s v="East Field Survey 63"/>
    <d v="2026-03-10T00:00:00"/>
    <s v="2026-03"/>
    <s v="Q1 2026"/>
    <x v="2"/>
    <s v="Planning"/>
    <x v="2"/>
    <s v="Naman Kumar"/>
    <x v="0"/>
    <n v="151134"/>
    <n v="167759"/>
    <n v="214732"/>
    <n v="446"/>
    <n v="13"/>
    <n v="0.84"/>
    <n v="1"/>
    <n v="72.78"/>
    <n v="18.920000000000002"/>
  </r>
  <r>
    <s v="GIS-064"/>
    <s v="West Spatial Analysis 64"/>
    <d v="2026-04-17T00:00:00"/>
    <s v="2026-04"/>
    <s v="Q2 2026"/>
    <x v="3"/>
    <s v="Environment"/>
    <x v="3"/>
    <s v="Fatima Khan"/>
    <x v="0"/>
    <n v="168491"/>
    <n v="146587"/>
    <n v="203756"/>
    <n v="519"/>
    <n v="6"/>
    <n v="0.36"/>
    <n v="4"/>
    <n v="72.92"/>
    <n v="19.03"/>
  </r>
  <r>
    <s v="GIS-065"/>
    <s v="Central Dashboard 65"/>
    <d v="2026-05-24T00:00:00"/>
    <s v="2026-05"/>
    <s v="Q2 2026"/>
    <x v="4"/>
    <s v="Operations"/>
    <x v="4"/>
    <s v="Daniel Lee"/>
    <x v="1"/>
    <n v="185848"/>
    <n v="185848"/>
    <n v="278772"/>
    <n v="592"/>
    <n v="11"/>
    <n v="0.38"/>
    <n v="7"/>
    <n v="73.06"/>
    <n v="19.14"/>
  </r>
  <r>
    <s v="GIS-066"/>
    <s v="North Asset Mapping 66"/>
    <d v="2026-06-06T00:00:00"/>
    <s v="2026-06"/>
    <s v="Q2 2026"/>
    <x v="0"/>
    <s v="Environment"/>
    <x v="0"/>
    <s v="Meera Shah"/>
    <x v="2"/>
    <n v="203205"/>
    <n v="229622"/>
    <n v="369691"/>
    <n v="665"/>
    <n v="4"/>
    <n v="0.7"/>
    <n v="8"/>
    <n v="73.2"/>
    <n v="19.25"/>
  </r>
  <r>
    <s v="GIS-067"/>
    <s v="South Data Quality 67"/>
    <d v="2026-07-13T00:00:00"/>
    <s v="2026-07"/>
    <s v="Q3 2026"/>
    <x v="1"/>
    <s v="Operations"/>
    <x v="1"/>
    <s v="Ravi Singh"/>
    <x v="3"/>
    <n v="220562"/>
    <n v="196300"/>
    <n v="243412"/>
    <n v="738"/>
    <n v="9"/>
    <n v="1"/>
    <n v="1"/>
    <n v="73.34"/>
    <n v="19.36"/>
  </r>
  <r>
    <s v="GIS-068"/>
    <s v="East Field Survey 68"/>
    <d v="2026-08-20T00:00:00"/>
    <s v="2026-08"/>
    <s v="Q3 2026"/>
    <x v="2"/>
    <s v="Utilities"/>
    <x v="2"/>
    <s v="Aisha Patel"/>
    <x v="0"/>
    <n v="237919"/>
    <n v="242677"/>
    <n v="327614"/>
    <n v="811"/>
    <n v="14"/>
    <n v="0.6399999999999999"/>
    <n v="4"/>
    <n v="73.48"/>
    <n v="19.47"/>
  </r>
  <r>
    <s v="GIS-069"/>
    <s v="West Spatial Analysis 69"/>
    <d v="2026-09-02T00:00:00"/>
    <s v="2026-09"/>
    <s v="Q3 2026"/>
    <x v="3"/>
    <s v="Transport"/>
    <x v="3"/>
    <s v="Naman Kumar"/>
    <x v="1"/>
    <n v="255276"/>
    <n v="293567"/>
    <n v="428608"/>
    <n v="884"/>
    <n v="7"/>
    <n v="0.45999999999999996"/>
    <n v="8"/>
    <n v="73.62"/>
    <n v="19.579999999999998"/>
  </r>
  <r>
    <s v="GIS-070"/>
    <s v="Central Dashboard 70"/>
    <d v="2026-10-09T00:00:00"/>
    <s v="2026-10"/>
    <s v="Q4 2026"/>
    <x v="4"/>
    <s v="Planning"/>
    <x v="4"/>
    <s v="Fatima Khan"/>
    <x v="2"/>
    <n v="272633"/>
    <n v="248096"/>
    <n v="389511"/>
    <n v="957"/>
    <n v="12"/>
    <n v="0.32"/>
    <n v="8"/>
    <n v="73.760000000000005"/>
    <n v="19.690000000000001"/>
  </r>
  <r>
    <s v="GIS-071"/>
    <s v="North Asset Mapping 71"/>
    <d v="2026-11-16T00:00:00"/>
    <s v="2026-11"/>
    <s v="Q4 2026"/>
    <x v="0"/>
    <s v="Transport"/>
    <x v="0"/>
    <s v="Daniel Lee"/>
    <x v="3"/>
    <n v="289990"/>
    <n v="301590"/>
    <n v="361908"/>
    <n v="1030"/>
    <n v="5"/>
    <n v="1"/>
    <n v="1"/>
    <n v="73.900000000000006"/>
    <n v="19.8"/>
  </r>
  <r>
    <s v="GIS-072"/>
    <s v="South Data Quality 72"/>
    <d v="2026-12-23T00:00:00"/>
    <s v="2026-12"/>
    <s v="Q4 2026"/>
    <x v="1"/>
    <s v="Planning"/>
    <x v="1"/>
    <s v="Meera Shah"/>
    <x v="0"/>
    <n v="62347"/>
    <n v="72946"/>
    <n v="95559"/>
    <n v="1103"/>
    <n v="10"/>
    <n v="0.37"/>
    <n v="4"/>
    <n v="74.040000000000006"/>
    <n v="19.91"/>
  </r>
  <r>
    <s v="GIS-073"/>
    <s v="East Field Survey 73"/>
    <d v="2026-01-05T00:00:00"/>
    <s v="2026-01"/>
    <s v="Q1 2026"/>
    <x v="2"/>
    <s v="Environment"/>
    <x v="2"/>
    <s v="Ravi Singh"/>
    <x v="0"/>
    <n v="79704"/>
    <n v="74125"/>
    <n v="105258"/>
    <n v="1176"/>
    <n v="3"/>
    <n v="0.43999999999999995"/>
    <n v="1"/>
    <n v="74.180000000000007"/>
    <n v="20.02"/>
  </r>
  <r>
    <s v="GIS-074"/>
    <s v="West Spatial Analysis 74"/>
    <d v="2026-02-12T00:00:00"/>
    <s v="2026-02"/>
    <s v="Q1 2026"/>
    <x v="3"/>
    <s v="Operations"/>
    <x v="3"/>
    <s v="Aisha Patel"/>
    <x v="1"/>
    <n v="97061"/>
    <n v="102885"/>
    <n v="157414"/>
    <n v="1249"/>
    <n v="8"/>
    <n v="0.21"/>
    <n v="7"/>
    <n v="74.319999999999993"/>
    <n v="20.13"/>
  </r>
  <r>
    <s v="GIS-075"/>
    <s v="Central Dashboard 75"/>
    <d v="2026-03-19T00:00:00"/>
    <s v="2026-03"/>
    <s v="Q1 2026"/>
    <x v="4"/>
    <s v="Utilities"/>
    <x v="4"/>
    <s v="Naman Kumar"/>
    <x v="2"/>
    <n v="114418"/>
    <n v="93823"/>
    <n v="153870"/>
    <n v="1322"/>
    <n v="13"/>
    <n v="0.47"/>
    <n v="9"/>
    <n v="74.459999999999994"/>
    <n v="20.239999999999998"/>
  </r>
  <r>
    <s v="GIS-076"/>
    <s v="North Asset Mapping 76"/>
    <d v="2026-04-01T00:00:00"/>
    <s v="2026-04"/>
    <s v="Q2 2026"/>
    <x v="0"/>
    <s v="Operations"/>
    <x v="0"/>
    <s v="Fatima Khan"/>
    <x v="3"/>
    <n v="131775"/>
    <n v="125186"/>
    <n v="158986"/>
    <n v="1395"/>
    <n v="6"/>
    <n v="1"/>
    <n v="4"/>
    <n v="74.599999999999994"/>
    <n v="18.7"/>
  </r>
  <r>
    <s v="GIS-077"/>
    <s v="South Data Quality 77"/>
    <d v="2026-05-08T00:00:00"/>
    <s v="2026-05"/>
    <s v="Q2 2026"/>
    <x v="1"/>
    <s v="Utilities"/>
    <x v="1"/>
    <s v="Daniel Lee"/>
    <x v="0"/>
    <n v="149132"/>
    <n v="161063"/>
    <n v="222267"/>
    <n v="1468"/>
    <n v="11"/>
    <n v="0.72"/>
    <n v="1"/>
    <n v="74.739999999999995"/>
    <n v="18.809999999999999"/>
  </r>
  <r>
    <s v="GIS-078"/>
    <s v="East Field Survey 78"/>
    <d v="2026-06-15T00:00:00"/>
    <s v="2026-06"/>
    <s v="Q2 2026"/>
    <x v="2"/>
    <s v="Transport"/>
    <x v="2"/>
    <s v="Meera Shah"/>
    <x v="1"/>
    <n v="166489"/>
    <n v="139851"/>
    <n v="208378"/>
    <n v="1541"/>
    <n v="4"/>
    <n v="0.29000000000000004"/>
    <n v="8"/>
    <n v="74.88"/>
    <n v="18.920000000000002"/>
  </r>
  <r>
    <s v="GIS-079"/>
    <s v="West Spatial Analysis 79"/>
    <d v="2026-07-22T00:00:00"/>
    <s v="2026-07"/>
    <s v="Q3 2026"/>
    <x v="3"/>
    <s v="Planning"/>
    <x v="3"/>
    <s v="Ravi Singh"/>
    <x v="2"/>
    <n v="183846"/>
    <n v="178331"/>
    <n v="285330"/>
    <n v="194"/>
    <n v="9"/>
    <n v="0.59000000000000008"/>
    <n v="9"/>
    <n v="75.02"/>
    <n v="19.03"/>
  </r>
  <r>
    <s v="GIS-080"/>
    <s v="Central Dashboard 80"/>
    <d v="2026-08-04T00:00:00"/>
    <s v="2026-08"/>
    <s v="Q3 2026"/>
    <x v="4"/>
    <s v="Environment"/>
    <x v="4"/>
    <s v="Aisha Patel"/>
    <x v="3"/>
    <n v="201203"/>
    <n v="221323"/>
    <n v="272227"/>
    <n v="267"/>
    <n v="14"/>
    <n v="1"/>
    <n v="4"/>
    <n v="75.16"/>
    <n v="19.14"/>
  </r>
  <r>
    <s v="GIS-081"/>
    <s v="North Asset Mapping 81"/>
    <d v="2026-09-11T00:00:00"/>
    <s v="2026-09"/>
    <s v="Q3 2026"/>
    <x v="0"/>
    <s v="Planning"/>
    <x v="0"/>
    <s v="Naman Kumar"/>
    <x v="0"/>
    <n v="218560"/>
    <n v="187962"/>
    <n v="251869"/>
    <n v="340"/>
    <n v="7"/>
    <n v="0.44999999999999996"/>
    <n v="1"/>
    <n v="72.5"/>
    <n v="19.25"/>
  </r>
  <r>
    <s v="GIS-082"/>
    <s v="South Data Quality 82"/>
    <d v="2026-10-18T00:00:00"/>
    <s v="2026-10"/>
    <s v="Q4 2026"/>
    <x v="1"/>
    <s v="Environment"/>
    <x v="1"/>
    <s v="Fatima Khan"/>
    <x v="0"/>
    <n v="235917"/>
    <n v="233558"/>
    <n v="338659"/>
    <n v="413"/>
    <n v="12"/>
    <n v="0.52"/>
    <n v="4"/>
    <n v="72.64"/>
    <n v="19.36"/>
  </r>
  <r>
    <s v="GIS-083"/>
    <s v="East Field Survey 83"/>
    <d v="2026-11-25T00:00:00"/>
    <s v="2026-11"/>
    <s v="Q4 2026"/>
    <x v="2"/>
    <s v="Operations"/>
    <x v="2"/>
    <s v="Daniel Lee"/>
    <x v="1"/>
    <n v="253274"/>
    <n v="283667"/>
    <n v="442521"/>
    <n v="486"/>
    <n v="5"/>
    <n v="0.39"/>
    <n v="7"/>
    <n v="72.78"/>
    <n v="19.47"/>
  </r>
  <r>
    <s v="GIS-084"/>
    <s v="West Spatial Analysis 84"/>
    <d v="2026-12-07T00:00:00"/>
    <s v="2026-12"/>
    <s v="Q4 2026"/>
    <x v="3"/>
    <s v="Utilities"/>
    <x v="3"/>
    <s v="Meera Shah"/>
    <x v="2"/>
    <n v="270631"/>
    <n v="238155"/>
    <n v="283404"/>
    <n v="559"/>
    <n v="10"/>
    <n v="0.74"/>
    <n v="10"/>
    <n v="72.92"/>
    <n v="19.579999999999998"/>
  </r>
  <r>
    <s v="GIS-085"/>
    <s v="Central Dashboard 85"/>
    <d v="2026-01-14T00:00:00"/>
    <s v="2026-01"/>
    <s v="Q1 2026"/>
    <x v="4"/>
    <s v="Transport"/>
    <x v="4"/>
    <s v="Ravi Singh"/>
    <x v="3"/>
    <n v="287988"/>
    <n v="290868"/>
    <n v="378128"/>
    <n v="632"/>
    <n v="3"/>
    <n v="1"/>
    <n v="1"/>
    <n v="73.06"/>
    <n v="19.690000000000001"/>
  </r>
  <r>
    <s v="GIS-086"/>
    <s v="North Asset Mapping 86"/>
    <d v="2026-02-21T00:00:00"/>
    <s v="2026-02"/>
    <s v="Q1 2026"/>
    <x v="0"/>
    <s v="Utilities"/>
    <x v="0"/>
    <s v="Aisha Patel"/>
    <x v="0"/>
    <n v="60345"/>
    <n v="68793"/>
    <n v="96998"/>
    <n v="705"/>
    <n v="8"/>
    <n v="0.8"/>
    <n v="4"/>
    <n v="73.2"/>
    <n v="19.8"/>
  </r>
  <r>
    <s v="GIS-087"/>
    <s v="South Data Quality 87"/>
    <d v="2026-03-03T00:00:00"/>
    <s v="2026-03"/>
    <s v="Q1 2026"/>
    <x v="1"/>
    <s v="Transport"/>
    <x v="1"/>
    <s v="Naman Kumar"/>
    <x v="1"/>
    <n v="77702"/>
    <n v="69932"/>
    <n v="106297"/>
    <n v="778"/>
    <n v="13"/>
    <n v="0.47"/>
    <n v="8"/>
    <n v="73.34"/>
    <n v="19.91"/>
  </r>
  <r>
    <s v="GIS-088"/>
    <s v="East Field Survey 88"/>
    <d v="2026-04-10T00:00:00"/>
    <s v="2026-04"/>
    <s v="Q2 2026"/>
    <x v="2"/>
    <s v="Planning"/>
    <x v="2"/>
    <s v="Fatima Khan"/>
    <x v="2"/>
    <n v="95059"/>
    <n v="97911"/>
    <n v="159595"/>
    <n v="851"/>
    <n v="6"/>
    <n v="0.36"/>
    <n v="10"/>
    <n v="73.48"/>
    <n v="20.02"/>
  </r>
  <r>
    <s v="GIS-089"/>
    <s v="West Spatial Analysis 89"/>
    <d v="2026-05-17T00:00:00"/>
    <s v="2026-05"/>
    <s v="Q2 2026"/>
    <x v="3"/>
    <s v="Environment"/>
    <x v="3"/>
    <s v="Daniel Lee"/>
    <x v="3"/>
    <n v="112416"/>
    <n v="130403"/>
    <n v="164308"/>
    <n v="924"/>
    <n v="11"/>
    <n v="1"/>
    <n v="1"/>
    <n v="73.62"/>
    <n v="20.13"/>
  </r>
  <r>
    <s v="GIS-090"/>
    <s v="Central Dashboard 90"/>
    <d v="2026-06-24T00:00:00"/>
    <s v="2026-06"/>
    <s v="Q2 2026"/>
    <x v="4"/>
    <s v="Operations"/>
    <x v="4"/>
    <s v="Meera Shah"/>
    <x v="0"/>
    <n v="129773"/>
    <n v="119391"/>
    <n v="163566"/>
    <n v="997"/>
    <n v="4"/>
    <n v="0.53"/>
    <n v="4"/>
    <n v="73.760000000000005"/>
    <n v="20.239999999999998"/>
  </r>
  <r>
    <s v="GIS-091"/>
    <s v="North Asset Mapping 91"/>
    <d v="2026-07-06T00:00:00"/>
    <s v="2026-07"/>
    <s v="Q3 2026"/>
    <x v="0"/>
    <s v="Environment"/>
    <x v="0"/>
    <s v="Ravi Singh"/>
    <x v="0"/>
    <n v="147130"/>
    <n v="154487"/>
    <n v="228641"/>
    <n v="1070"/>
    <n v="9"/>
    <n v="0.6"/>
    <n v="1"/>
    <n v="73.900000000000006"/>
    <n v="18.7"/>
  </r>
  <r>
    <s v="GIS-092"/>
    <s v="South Data Quality 92"/>
    <d v="2026-08-13T00:00:00"/>
    <s v="2026-08"/>
    <s v="Q3 2026"/>
    <x v="1"/>
    <s v="Operations"/>
    <x v="1"/>
    <s v="Aisha Patel"/>
    <x v="1"/>
    <n v="164487"/>
    <n v="194095"/>
    <n v="308611"/>
    <n v="1143"/>
    <n v="14"/>
    <n v="0.22"/>
    <n v="7"/>
    <n v="74.040000000000006"/>
    <n v="18.809999999999999"/>
  </r>
  <r>
    <s v="GIS-093"/>
    <s v="East Field Survey 93"/>
    <d v="2026-09-20T00:00:00"/>
    <s v="2026-09"/>
    <s v="Q3 2026"/>
    <x v="2"/>
    <s v="Utilities"/>
    <x v="2"/>
    <s v="Naman Kumar"/>
    <x v="2"/>
    <n v="181844"/>
    <n v="170933"/>
    <n v="208538"/>
    <n v="1216"/>
    <n v="7"/>
    <n v="0.51"/>
    <n v="7"/>
    <n v="74.180000000000007"/>
    <n v="18.920000000000002"/>
  </r>
  <r>
    <s v="GIS-094"/>
    <s v="West Spatial Analysis 94"/>
    <d v="2026-10-02T00:00:00"/>
    <s v="2026-10"/>
    <s v="Q4 2026"/>
    <x v="3"/>
    <s v="Transport"/>
    <x v="3"/>
    <s v="Fatima Khan"/>
    <x v="3"/>
    <n v="199201"/>
    <n v="213145"/>
    <n v="283483"/>
    <n v="1289"/>
    <n v="12"/>
    <n v="1"/>
    <n v="4"/>
    <n v="74.319999999999993"/>
    <n v="19.03"/>
  </r>
  <r>
    <s v="GIS-095"/>
    <s v="Central Dashboard 95"/>
    <d v="2026-11-09T00:00:00"/>
    <s v="2026-11"/>
    <s v="Q4 2026"/>
    <x v="4"/>
    <s v="Planning"/>
    <x v="4"/>
    <s v="Daniel Lee"/>
    <x v="0"/>
    <n v="216558"/>
    <n v="179743"/>
    <n v="258830"/>
    <n v="1362"/>
    <n v="5"/>
    <n v="0.88"/>
    <n v="1"/>
    <n v="74.459999999999994"/>
    <n v="19.14"/>
  </r>
  <r>
    <s v="GIS-096"/>
    <s v="North Asset Mapping 96"/>
    <d v="2026-12-16T00:00:00"/>
    <s v="2026-12"/>
    <s v="Q4 2026"/>
    <x v="0"/>
    <s v="Transport"/>
    <x v="0"/>
    <s v="Meera Shah"/>
    <x v="1"/>
    <n v="233915"/>
    <n v="224558"/>
    <n v="348065"/>
    <n v="1435"/>
    <n v="10"/>
    <n v="0.3"/>
    <n v="8"/>
    <n v="74.599999999999994"/>
    <n v="19.25"/>
  </r>
  <r>
    <s v="GIS-097"/>
    <s v="South Data Quality 97"/>
    <d v="2026-01-23T00:00:00"/>
    <s v="2026-01"/>
    <s v="Q1 2026"/>
    <x v="1"/>
    <s v="Planning"/>
    <x v="1"/>
    <s v="Ravi Singh"/>
    <x v="2"/>
    <n v="251272"/>
    <n v="273886"/>
    <n v="323185"/>
    <n v="1508"/>
    <n v="3"/>
    <n v="0.63"/>
    <n v="7"/>
    <n v="74.739999999999995"/>
    <n v="19.36"/>
  </r>
  <r>
    <s v="GIS-098"/>
    <s v="East Field Survey 98"/>
    <d v="2026-02-05T00:00:00"/>
    <s v="2026-02"/>
    <s v="Q1 2026"/>
    <x v="2"/>
    <s v="Environment"/>
    <x v="2"/>
    <s v="Aisha Patel"/>
    <x v="3"/>
    <n v="268629"/>
    <n v="228335"/>
    <n v="294552"/>
    <n v="1581"/>
    <n v="8"/>
    <n v="1"/>
    <n v="4"/>
    <n v="74.88"/>
    <n v="19.47"/>
  </r>
  <r>
    <s v="GIS-099"/>
    <s v="West Spatial Analysis 99"/>
    <d v="2026-03-12T00:00:00"/>
    <s v="2026-03"/>
    <s v="Q1 2026"/>
    <x v="3"/>
    <s v="Operations"/>
    <x v="3"/>
    <s v="Naman Kumar"/>
    <x v="0"/>
    <n v="285986"/>
    <n v="280266"/>
    <n v="392372"/>
    <n v="234"/>
    <n v="13"/>
    <n v="0.61"/>
    <n v="1"/>
    <n v="75.02"/>
    <n v="19.579999999999998"/>
  </r>
  <r>
    <s v="GIS-100"/>
    <s v="Central Dashboard 100"/>
    <d v="2026-04-19T00:00:00"/>
    <s v="2026-04"/>
    <s v="Q2 2026"/>
    <x v="4"/>
    <s v="Utilities"/>
    <x v="4"/>
    <s v="Fatima Khan"/>
    <x v="0"/>
    <n v="58343"/>
    <n v="64761"/>
    <n v="97789"/>
    <n v="307"/>
    <n v="6"/>
    <n v="0.67999999999999994"/>
    <n v="4"/>
    <n v="75.16"/>
    <n v="19.690000000000001"/>
  </r>
  <r>
    <s v="GIS-101"/>
    <s v="North Asset Mapping 101"/>
    <d v="2026-05-01T00:00:00"/>
    <s v="2026-05"/>
    <s v="Q2 2026"/>
    <x v="0"/>
    <s v="Operations"/>
    <x v="0"/>
    <s v="Daniel Lee"/>
    <x v="1"/>
    <n v="75700"/>
    <n v="65859"/>
    <n v="106692"/>
    <n v="380"/>
    <n v="11"/>
    <n v="0.4"/>
    <n v="7"/>
    <n v="72.5"/>
    <n v="19.8"/>
  </r>
  <r>
    <s v="GIS-102"/>
    <s v="South Data Quality 102"/>
    <d v="2026-06-08T00:00:00"/>
    <s v="2026-06"/>
    <s v="Q2 2026"/>
    <x v="1"/>
    <s v="Utilities"/>
    <x v="1"/>
    <s v="Meera Shah"/>
    <x v="2"/>
    <n v="93057"/>
    <n v="93057"/>
    <n v="116321"/>
    <n v="453"/>
    <n v="4"/>
    <n v="0.28000000000000003"/>
    <n v="8"/>
    <n v="72.64"/>
    <n v="19.91"/>
  </r>
  <r>
    <s v="GIS-103"/>
    <s v="East Field Survey 103"/>
    <d v="2026-07-15T00:00:00"/>
    <s v="2026-07"/>
    <s v="Q3 2026"/>
    <x v="2"/>
    <s v="Transport"/>
    <x v="2"/>
    <s v="Ravi Singh"/>
    <x v="3"/>
    <n v="110414"/>
    <n v="124768"/>
    <n v="169684"/>
    <n v="526"/>
    <n v="9"/>
    <n v="1"/>
    <n v="1"/>
    <n v="72.78"/>
    <n v="20.02"/>
  </r>
  <r>
    <s v="GIS-104"/>
    <s v="West Spatial Analysis 104"/>
    <d v="2026-08-22T00:00:00"/>
    <s v="2026-08"/>
    <s v="Q3 2026"/>
    <x v="3"/>
    <s v="Planning"/>
    <x v="3"/>
    <s v="Aisha Patel"/>
    <x v="0"/>
    <n v="127771"/>
    <n v="113716"/>
    <n v="167163"/>
    <n v="599"/>
    <n v="14"/>
    <n v="0.41"/>
    <n v="4"/>
    <n v="72.92"/>
    <n v="20.13"/>
  </r>
  <r>
    <s v="GIS-105"/>
    <s v="Central Dashboard 105"/>
    <d v="2026-09-04T00:00:00"/>
    <s v="2026-09"/>
    <s v="Q3 2026"/>
    <x v="4"/>
    <s v="Environment"/>
    <x v="4"/>
    <s v="Naman Kumar"/>
    <x v="1"/>
    <n v="145128"/>
    <n v="148031"/>
    <n v="233889"/>
    <n v="672"/>
    <n v="7"/>
    <n v="0.48"/>
    <n v="8"/>
    <n v="73.06"/>
    <n v="20.239999999999998"/>
  </r>
  <r>
    <s v="GIS-106"/>
    <s v="North Asset Mapping 106"/>
    <d v="2026-10-11T00:00:00"/>
    <s v="2026-10"/>
    <s v="Q4 2026"/>
    <x v="0"/>
    <s v="Planning"/>
    <x v="0"/>
    <s v="Fatima Khan"/>
    <x v="2"/>
    <n v="162485"/>
    <n v="186858"/>
    <n v="226098"/>
    <n v="745"/>
    <n v="12"/>
    <n v="0.4"/>
    <n v="8"/>
    <n v="73.2"/>
    <n v="18.7"/>
  </r>
  <r>
    <s v="GIS-107"/>
    <s v="South Data Quality 107"/>
    <d v="2026-11-18T00:00:00"/>
    <s v="2026-11"/>
    <s v="Q4 2026"/>
    <x v="1"/>
    <s v="Environment"/>
    <x v="1"/>
    <s v="Daniel Lee"/>
    <x v="3"/>
    <n v="179842"/>
    <n v="163656"/>
    <n v="216026"/>
    <n v="818"/>
    <n v="5"/>
    <n v="1"/>
    <n v="1"/>
    <n v="73.34"/>
    <n v="18.809999999999999"/>
  </r>
  <r>
    <s v="GIS-108"/>
    <s v="East Field Survey 108"/>
    <d v="2026-12-25T00:00:00"/>
    <s v="2026-12"/>
    <s v="Q4 2026"/>
    <x v="2"/>
    <s v="Operations"/>
    <x v="2"/>
    <s v="Meera Shah"/>
    <x v="0"/>
    <n v="197199"/>
    <n v="205087"/>
    <n v="293274"/>
    <n v="891"/>
    <n v="10"/>
    <n v="0.69"/>
    <n v="4"/>
    <n v="73.48"/>
    <n v="18.920000000000002"/>
  </r>
  <r>
    <s v="GIS-109"/>
    <s v="West Spatial Analysis 109"/>
    <d v="2026-01-07T00:00:00"/>
    <s v="2026-01"/>
    <s v="Q1 2026"/>
    <x v="3"/>
    <s v="Utilities"/>
    <x v="3"/>
    <s v="Ravi Singh"/>
    <x v="0"/>
    <n v="214556"/>
    <n v="251031"/>
    <n v="386588"/>
    <n v="964"/>
    <n v="3"/>
    <n v="0.76"/>
    <n v="1"/>
    <n v="73.62"/>
    <n v="19.03"/>
  </r>
  <r>
    <s v="GIS-110"/>
    <s v="Central Dashboard 110"/>
    <d v="2026-02-14T00:00:00"/>
    <s v="2026-02"/>
    <s v="Q1 2026"/>
    <x v="4"/>
    <s v="Transport"/>
    <x v="4"/>
    <s v="Aisha Patel"/>
    <x v="1"/>
    <n v="231913"/>
    <n v="215679"/>
    <n v="355870"/>
    <n v="1037"/>
    <n v="8"/>
    <n v="0.22999999999999998"/>
    <n v="7"/>
    <n v="73.760000000000005"/>
    <n v="19.14"/>
  </r>
  <r>
    <s v="GIS-111"/>
    <s v="North Asset Mapping 111"/>
    <d v="2026-03-21T00:00:00"/>
    <s v="2026-03"/>
    <s v="Q1 2026"/>
    <x v="0"/>
    <s v="Utilities"/>
    <x v="0"/>
    <s v="Naman Kumar"/>
    <x v="2"/>
    <n v="249270"/>
    <n v="264226"/>
    <n v="338209"/>
    <n v="1110"/>
    <n v="13"/>
    <n v="0.55000000000000004"/>
    <n v="9"/>
    <n v="73.900000000000006"/>
    <n v="19.25"/>
  </r>
  <r>
    <s v="GIS-112"/>
    <s v="South Data Quality 112"/>
    <d v="2026-04-03T00:00:00"/>
    <s v="2026-04"/>
    <s v="Q2 2026"/>
    <x v="1"/>
    <s v="Transport"/>
    <x v="1"/>
    <s v="Fatima Khan"/>
    <x v="3"/>
    <n v="266627"/>
    <n v="218634"/>
    <n v="303901"/>
    <n v="1183"/>
    <n v="6"/>
    <n v="1"/>
    <n v="4"/>
    <n v="74.040000000000006"/>
    <n v="19.36"/>
  </r>
  <r>
    <s v="GIS-113"/>
    <s v="East Field Survey 113"/>
    <d v="2026-05-10T00:00:00"/>
    <s v="2026-05"/>
    <s v="Q2 2026"/>
    <x v="2"/>
    <s v="Planning"/>
    <x v="2"/>
    <s v="Daniel Lee"/>
    <x v="0"/>
    <n v="283984"/>
    <n v="269785"/>
    <n v="404678"/>
    <n v="1256"/>
    <n v="11"/>
    <n v="0.49"/>
    <n v="1"/>
    <n v="74.180000000000007"/>
    <n v="19.47"/>
  </r>
  <r>
    <s v="GIS-114"/>
    <s v="West Spatial Analysis 114"/>
    <d v="2026-06-17T00:00:00"/>
    <s v="2026-06"/>
    <s v="Q2 2026"/>
    <x v="3"/>
    <s v="Environment"/>
    <x v="3"/>
    <s v="Meera Shah"/>
    <x v="1"/>
    <n v="56341"/>
    <n v="60848"/>
    <n v="97965"/>
    <n v="1329"/>
    <n v="4"/>
    <n v="0.31"/>
    <n v="8"/>
    <n v="74.319999999999993"/>
    <n v="19.579999999999998"/>
  </r>
  <r>
    <s v="GIS-115"/>
    <s v="Central Dashboard 115"/>
    <d v="2026-07-24T00:00:00"/>
    <s v="2026-07"/>
    <s v="Q3 2026"/>
    <x v="4"/>
    <s v="Operations"/>
    <x v="4"/>
    <s v="Ravi Singh"/>
    <x v="2"/>
    <n v="73698"/>
    <n v="61906"/>
    <n v="76763"/>
    <n v="1402"/>
    <n v="9"/>
    <n v="0.66999999999999993"/>
    <n v="9"/>
    <n v="74.459999999999994"/>
    <n v="19.690000000000001"/>
  </r>
  <r>
    <s v="GIS-116"/>
    <s v="North Asset Mapping 116"/>
    <d v="2026-08-06T00:00:00"/>
    <s v="2026-08"/>
    <s v="Q3 2026"/>
    <x v="0"/>
    <s v="Environment"/>
    <x v="0"/>
    <s v="Aisha Patel"/>
    <x v="3"/>
    <n v="91055"/>
    <n v="88323"/>
    <n v="119236"/>
    <n v="1475"/>
    <n v="14"/>
    <n v="1"/>
    <n v="4"/>
    <n v="74.599999999999994"/>
    <n v="19.8"/>
  </r>
  <r>
    <s v="GIS-117"/>
    <s v="South Data Quality 117"/>
    <d v="2026-09-13T00:00:00"/>
    <s v="2026-09"/>
    <s v="Q3 2026"/>
    <x v="1"/>
    <s v="Operations"/>
    <x v="1"/>
    <s v="Naman Kumar"/>
    <x v="0"/>
    <n v="108412"/>
    <n v="119253"/>
    <n v="174109"/>
    <n v="1548"/>
    <n v="7"/>
    <n v="0.77"/>
    <n v="1"/>
    <n v="74.739999999999995"/>
    <n v="19.91"/>
  </r>
  <r>
    <s v="GIS-118"/>
    <s v="East Field Survey 118"/>
    <d v="2026-10-20T00:00:00"/>
    <s v="2026-10"/>
    <s v="Q4 2026"/>
    <x v="2"/>
    <s v="Utilities"/>
    <x v="2"/>
    <s v="Fatima Khan"/>
    <x v="0"/>
    <n v="125769"/>
    <n v="108161"/>
    <n v="169813"/>
    <n v="201"/>
    <n v="12"/>
    <n v="0.84"/>
    <n v="4"/>
    <n v="74.88"/>
    <n v="20.02"/>
  </r>
  <r>
    <s v="GIS-119"/>
    <s v="West Spatial Analysis 119"/>
    <d v="2026-11-02T00:00:00"/>
    <s v="2026-11"/>
    <s v="Q4 2026"/>
    <x v="3"/>
    <s v="Transport"/>
    <x v="3"/>
    <s v="Daniel Lee"/>
    <x v="1"/>
    <n v="143126"/>
    <n v="141695"/>
    <n v="170034"/>
    <n v="274"/>
    <n v="5"/>
    <n v="0.41000000000000003"/>
    <n v="7"/>
    <n v="75.02"/>
    <n v="20.13"/>
  </r>
  <r>
    <s v="GIS-120"/>
    <s v="Central Dashboard 120"/>
    <d v="2026-12-09T00:00:00"/>
    <s v="2026-12"/>
    <s v="Q4 2026"/>
    <x v="4"/>
    <s v="Planning"/>
    <x v="4"/>
    <s v="Meera Shah"/>
    <x v="2"/>
    <n v="160483"/>
    <n v="179741"/>
    <n v="235461"/>
    <n v="347"/>
    <n v="10"/>
    <n v="0.32"/>
    <n v="10"/>
    <n v="75.16"/>
    <n v="20.23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77893-9D02-4218-9BE9-B05DF46458FE}" name="PortfolioPivot"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K14" firstHeaderRow="1" firstDataRow="3" firstDataCol="1" rowPageCount="1" colPageCount="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5">
        <item x="0"/>
        <item x="4"/>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0"/>
        <item x="2"/>
        <item x="3"/>
        <item x="1"/>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s>
  <rowFields count="1">
    <field x="5"/>
  </rowFields>
  <rowItems count="6">
    <i>
      <x/>
    </i>
    <i>
      <x v="1"/>
    </i>
    <i>
      <x v="2"/>
    </i>
    <i>
      <x v="3"/>
    </i>
    <i>
      <x v="4"/>
    </i>
    <i t="grand">
      <x/>
    </i>
  </rowItems>
  <colFields count="2">
    <field x="9"/>
    <field x="-2"/>
  </colFields>
  <colItems count="10">
    <i>
      <x/>
      <x/>
    </i>
    <i r="1" i="1">
      <x v="1"/>
    </i>
    <i>
      <x v="1"/>
      <x/>
    </i>
    <i r="1" i="1">
      <x v="1"/>
    </i>
    <i>
      <x v="2"/>
      <x/>
    </i>
    <i r="1" i="1">
      <x v="1"/>
    </i>
    <i>
      <x v="3"/>
      <x/>
    </i>
    <i r="1" i="1">
      <x v="1"/>
    </i>
    <i t="grand">
      <x/>
    </i>
    <i t="grand" i="1">
      <x/>
    </i>
  </colItems>
  <pageFields count="1">
    <pageField fld="7" hier="-1"/>
  </pageFields>
  <dataFields count="2">
    <dataField name="Sum of Actual Cost" fld="11" baseField="0" baseItem="0" numFmtId="165"/>
    <dataField name="Sum of Business Value" fld="12" baseField="0" baseItem="0" numFmtId="165"/>
  </dataFields>
  <formats count="25">
    <format dxfId="12">
      <pivotArea dataOnly="0" labelOnly="1" outline="0" fieldPosition="0">
        <references count="1">
          <reference field="7" count="0"/>
        </references>
      </pivotArea>
    </format>
    <format dxfId="13">
      <pivotArea type="all" dataOnly="0" outline="0" fieldPosition="0"/>
    </format>
    <format dxfId="14">
      <pivotArea outline="0" collapsedLevelsAreSubtotals="1" fieldPosition="0"/>
    </format>
    <format dxfId="15">
      <pivotArea dataOnly="0" labelOnly="1" grandRow="1" outline="0" fieldPosition="0"/>
    </format>
    <format dxfId="16">
      <pivotArea type="origin" dataOnly="0" labelOnly="1" outline="0" fieldPosition="0"/>
    </format>
    <format dxfId="17">
      <pivotArea field="9" type="button" dataOnly="0" labelOnly="1" outline="0" axis="axisCol" fieldPosition="0"/>
    </format>
    <format dxfId="18">
      <pivotArea field="-2" type="button" dataOnly="0" labelOnly="1" outline="0" axis="axisCol" fieldPosition="1"/>
    </format>
    <format dxfId="19">
      <pivotArea type="topRight" dataOnly="0" labelOnly="1" outline="0" fieldPosition="0"/>
    </format>
    <format dxfId="20">
      <pivotArea dataOnly="0" labelOnly="1" outline="0" fieldPosition="0">
        <references count="1">
          <reference field="9" count="0"/>
        </references>
      </pivotArea>
    </format>
    <format dxfId="21">
      <pivotArea field="9" dataOnly="0" labelOnly="1" grandCol="1" outline="0" axis="axisCol" fieldPosition="0">
        <references count="1">
          <reference field="4294967294" count="1" selected="0">
            <x v="0"/>
          </reference>
        </references>
      </pivotArea>
    </format>
    <format dxfId="22">
      <pivotArea field="9" dataOnly="0" labelOnly="1" grandCol="1" outline="0" axis="axisCol" fieldPosition="0">
        <references count="1">
          <reference field="4294967294" count="1" selected="0">
            <x v="1"/>
          </reference>
        </references>
      </pivotArea>
    </format>
    <format dxfId="23">
      <pivotArea field="5" type="button" dataOnly="0" labelOnly="1" outline="0" axis="axisRow" fieldPosition="0"/>
    </format>
    <format dxfId="24">
      <pivotArea field="9" dataOnly="0" labelOnly="1" grandCol="1" outline="0" offset="IV256" axis="axisCol" fieldPosition="0">
        <references count="1">
          <reference field="4294967294" count="1" selected="0">
            <x v="0"/>
          </reference>
        </references>
      </pivotArea>
    </format>
    <format dxfId="25">
      <pivotArea field="9" dataOnly="0" labelOnly="1" grandCol="1" outline="0" offset="IV256" axis="axisCol" fieldPosition="0">
        <references count="1">
          <reference field="4294967294" count="1" selected="0">
            <x v="1"/>
          </reference>
        </references>
      </pivotArea>
    </format>
    <format dxfId="26">
      <pivotArea dataOnly="0" labelOnly="1" outline="0" fieldPosition="0">
        <references count="2">
          <reference field="4294967294" count="2">
            <x v="0"/>
            <x v="1"/>
          </reference>
          <reference field="9" count="1" selected="0">
            <x v="0"/>
          </reference>
        </references>
      </pivotArea>
    </format>
    <format dxfId="27">
      <pivotArea dataOnly="0" labelOnly="1" outline="0" fieldPosition="0">
        <references count="2">
          <reference field="4294967294" count="2">
            <x v="0"/>
            <x v="1"/>
          </reference>
          <reference field="9" count="1" selected="0">
            <x v="1"/>
          </reference>
        </references>
      </pivotArea>
    </format>
    <format dxfId="28">
      <pivotArea dataOnly="0" labelOnly="1" outline="0" fieldPosition="0">
        <references count="2">
          <reference field="4294967294" count="2">
            <x v="0"/>
            <x v="1"/>
          </reference>
          <reference field="9" count="1" selected="0">
            <x v="2"/>
          </reference>
        </references>
      </pivotArea>
    </format>
    <format dxfId="29">
      <pivotArea dataOnly="0" labelOnly="1" outline="0" fieldPosition="0">
        <references count="2">
          <reference field="4294967294" count="2">
            <x v="0"/>
            <x v="1"/>
          </reference>
          <reference field="9" count="1" selected="0">
            <x v="3"/>
          </reference>
        </references>
      </pivotArea>
    </format>
    <format dxfId="30">
      <pivotArea dataOnly="0" labelOnly="1" outline="0" fieldPosition="0">
        <references count="1">
          <reference field="5" count="0"/>
        </references>
      </pivotArea>
    </format>
    <format dxfId="31">
      <pivotArea grandRow="1" outline="0" collapsedLevelsAreSubtotals="1" fieldPosition="0"/>
    </format>
    <format dxfId="32">
      <pivotArea dataOnly="0" labelOnly="1" outline="0" fieldPosition="0">
        <references count="1">
          <reference field="7" count="0"/>
        </references>
      </pivotArea>
    </format>
    <format dxfId="33">
      <pivotArea field="7" type="button" dataOnly="0" labelOnly="1" outline="0" axis="axisPage" fieldPosition="0"/>
    </format>
    <format dxfId="34">
      <pivotArea field="7" type="button" dataOnly="0" labelOnly="1" outline="0" axis="axisPage" fieldPosition="0"/>
    </format>
    <format dxfId="35">
      <pivotArea dataOnly="0" labelOnly="1" outline="0" fieldPosition="0">
        <references count="1">
          <reference field="7" count="0"/>
        </references>
      </pivotArea>
    </format>
    <format dxfId="36">
      <pivotArea outline="0" fieldPosition="0">
        <references count="1">
          <reference field="5"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0B7CEE-1750-4105-90E3-2A2D1A70F46A}" sourceName="Region">
  <pivotTables>
    <pivotTable tabId="7" name="PortfolioPivot"/>
  </pivotTables>
  <data>
    <tabular pivotCacheId="871548219">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8E9B3B78-C455-4F3D-8F79-F43E5A6282E6}" sourceName="Project Type">
  <pivotTables>
    <pivotTable tabId="7" name="PortfolioPivot"/>
  </pivotTables>
  <data>
    <tabular pivotCacheId="871548219">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Slicer" xr10:uid="{598725F8-0B10-47FF-B336-FB9ED969ECAD}" cache="Slicer_Region" caption="Region" rowHeight="228600"/>
  <slicer name="Project Type Slicer" xr10:uid="{66E23E95-DECB-4269-9D8B-192617863772}" cache="Slicer_Project_Type" caption="Project Typ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4BDF4-F154-49C9-B212-063383084739}" name="tblProjects" displayName="tblProjects" ref="A1:S121" totalsRowShown="0" headerRowDxfId="10">
  <autoFilter ref="A1:S121" xr:uid="{DE74BDF4-F154-49C9-B212-063383084739}"/>
  <tableColumns count="19">
    <tableColumn id="1" xr3:uid="{9CF349F3-FB86-42B7-A05B-8797BD5F3FA5}" name="Project ID"/>
    <tableColumn id="2" xr3:uid="{CB1EFD0F-70EA-4537-AA81-56A0E251EBA0}" name="Project Name"/>
    <tableColumn id="3" xr3:uid="{1589471F-CF0D-4993-B578-EB153E2BFE99}" name="Start Date" dataDxfId="9"/>
    <tableColumn id="4" xr3:uid="{FB7CC83F-6A93-454D-AF7A-7A8E5BCFE539}" name="Month"/>
    <tableColumn id="5" xr3:uid="{51CB7D8F-DE31-4828-A959-C8D377552631}" name="Quarter"/>
    <tableColumn id="6" xr3:uid="{F12925E7-E40D-4437-B6FC-56CEAB37742C}" name="Region"/>
    <tableColumn id="7" xr3:uid="{E19BD0E1-9133-4E48-9AC8-4C697FC7A460}" name="Department"/>
    <tableColumn id="8" xr3:uid="{555175D0-D3BC-4244-A513-4451D5A89309}" name="Project Type"/>
    <tableColumn id="9" xr3:uid="{4F583050-BF35-43B5-8807-CAE5EA568BEE}" name="Manager"/>
    <tableColumn id="10" xr3:uid="{CF02F31D-F12D-4854-BA53-B606BA5E77A8}" name="Status"/>
    <tableColumn id="11" xr3:uid="{5882F5C6-BE7A-4D25-B147-835FDD3BD038}" name="Budget" dataDxfId="8"/>
    <tableColumn id="12" xr3:uid="{50B3EA1D-1663-4D28-804B-A14DEBD939DC}" name="Actual Cost" dataDxfId="7"/>
    <tableColumn id="13" xr3:uid="{A17EE6AC-2071-467D-912C-356573B5F2F2}" name="Business Value" dataDxfId="6"/>
    <tableColumn id="14" xr3:uid="{7435FD56-0549-4BEB-A81B-F5FC75F08497}" name="Hours" dataDxfId="5"/>
    <tableColumn id="15" xr3:uid="{FF662E09-172B-49BB-8294-AAB60AD28748}" name="Team Size" dataDxfId="4"/>
    <tableColumn id="16" xr3:uid="{DB47EE52-4F40-4E55-90BC-CA43CAF287B3}" name="Completion %" dataDxfId="3"/>
    <tableColumn id="17" xr3:uid="{C106DD40-DC7B-48ED-AB33-297EAE7FC509}" name="Risk Score" dataDxfId="2"/>
    <tableColumn id="18" xr3:uid="{DA3BDD8E-85B2-4F69-9E4F-FDB2AC824488}" name="X Coordinate" dataDxfId="1"/>
    <tableColumn id="19" xr3:uid="{00552716-66EE-4AFA-AA1C-ADF93A075197}" name="Y Coordin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Q91"/>
  <sheetViews>
    <sheetView topLeftCell="A4" workbookViewId="0">
      <selection activeCell="E14" sqref="E14"/>
    </sheetView>
  </sheetViews>
  <sheetFormatPr defaultRowHeight="78.75" customHeight="1"/>
  <cols>
    <col min="1" max="1" width="31.42578125" customWidth="1"/>
    <col min="2" max="2" width="46.7109375" customWidth="1"/>
    <col min="3" max="3" width="3.85546875" customWidth="1"/>
    <col min="4" max="4" width="25.42578125" customWidth="1"/>
    <col min="5" max="5" width="53.140625" customWidth="1"/>
    <col min="6" max="8" width="7.5703125" customWidth="1"/>
  </cols>
  <sheetData>
    <row r="1" spans="1:54" ht="15">
      <c r="A1" s="176" t="s">
        <v>0</v>
      </c>
      <c r="B1" s="176"/>
      <c r="C1" s="176"/>
      <c r="D1" s="176"/>
      <c r="E1" s="176"/>
      <c r="F1" s="176"/>
      <c r="G1" s="176"/>
      <c r="H1" s="176"/>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row>
    <row r="2" spans="1:54" ht="15">
      <c r="A2" s="176"/>
      <c r="B2" s="176"/>
      <c r="C2" s="176"/>
      <c r="D2" s="176"/>
      <c r="E2" s="176"/>
      <c r="F2" s="176"/>
      <c r="G2" s="176"/>
      <c r="H2" s="176"/>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row>
    <row r="3" spans="1:54" ht="15">
      <c r="A3" s="176"/>
      <c r="B3" s="176"/>
      <c r="C3" s="176"/>
      <c r="D3" s="176"/>
      <c r="E3" s="176"/>
      <c r="F3" s="176"/>
      <c r="G3" s="176"/>
      <c r="H3" s="176"/>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row>
    <row r="4" spans="1:54" ht="1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row>
    <row r="5" spans="1:54" ht="15.75">
      <c r="A5" s="177" t="s">
        <v>1</v>
      </c>
      <c r="B5" s="178"/>
      <c r="C5" s="178"/>
      <c r="D5" s="178"/>
      <c r="E5" s="178"/>
      <c r="F5" s="178"/>
      <c r="G5" s="178"/>
      <c r="H5" s="179"/>
      <c r="I5" s="11"/>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row>
    <row r="6" spans="1:54" ht="15">
      <c r="B6" s="10"/>
      <c r="C6" s="10"/>
      <c r="D6" s="10"/>
      <c r="E6" s="10"/>
      <c r="F6" s="10"/>
      <c r="G6" s="10"/>
      <c r="H6" s="10"/>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row>
    <row r="7" spans="1:54" ht="15">
      <c r="A7" s="169" t="s">
        <v>2</v>
      </c>
      <c r="B7" s="169"/>
      <c r="C7" s="169"/>
      <c r="D7" s="169"/>
      <c r="E7" s="169"/>
      <c r="F7" s="169"/>
      <c r="G7" s="169"/>
      <c r="H7" s="180"/>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row>
    <row r="8" spans="1:54" ht="15" customHeight="1">
      <c r="A8" s="181" t="s">
        <v>3</v>
      </c>
      <c r="B8" s="181"/>
      <c r="C8" s="181"/>
      <c r="D8" s="181"/>
      <c r="E8" s="181"/>
      <c r="F8" s="181"/>
      <c r="G8" s="181"/>
      <c r="H8" s="182"/>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row>
    <row r="9" spans="1:54" ht="15">
      <c r="A9" s="181"/>
      <c r="B9" s="181"/>
      <c r="C9" s="181"/>
      <c r="D9" s="181"/>
      <c r="E9" s="181"/>
      <c r="F9" s="181"/>
      <c r="G9" s="181"/>
      <c r="H9" s="182"/>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row>
    <row r="10" spans="1:54" ht="15">
      <c r="A10" s="183"/>
      <c r="B10" s="183"/>
      <c r="C10" s="183"/>
      <c r="D10" s="183"/>
      <c r="E10" s="183"/>
      <c r="F10" s="183"/>
      <c r="G10" s="183"/>
      <c r="H10" s="184"/>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row>
    <row r="11" spans="1:54" ht="1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row>
    <row r="12" spans="1:54" ht="15">
      <c r="A12" s="149" t="s">
        <v>4</v>
      </c>
      <c r="B12" s="149" t="s">
        <v>5</v>
      </c>
      <c r="C12" s="9"/>
      <c r="D12" s="22" t="s">
        <v>6</v>
      </c>
      <c r="E12" s="22"/>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row>
    <row r="13" spans="1:54" ht="35.25" customHeight="1">
      <c r="A13" s="26" t="s">
        <v>7</v>
      </c>
      <c r="B13" s="27" t="s">
        <v>8</v>
      </c>
      <c r="C13" s="11"/>
      <c r="E13" s="70" t="s">
        <v>9</v>
      </c>
      <c r="F13" s="11"/>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row>
    <row r="14" spans="1:54" ht="35.25" customHeight="1">
      <c r="A14" s="24" t="s">
        <v>10</v>
      </c>
      <c r="B14" s="25" t="s">
        <v>11</v>
      </c>
      <c r="C14" s="11"/>
      <c r="D14" s="21" t="s">
        <v>12</v>
      </c>
      <c r="E14" s="23" t="s">
        <v>13</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row>
    <row r="15" spans="1:54" ht="35.25" customHeight="1">
      <c r="A15" s="26" t="s">
        <v>14</v>
      </c>
      <c r="B15" s="27" t="s">
        <v>15</v>
      </c>
      <c r="C15" s="11"/>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ht="35.25" customHeight="1">
      <c r="A16" s="24" t="s">
        <v>16</v>
      </c>
      <c r="B16" s="25" t="s">
        <v>17</v>
      </c>
      <c r="C16" s="11"/>
      <c r="D16" s="33" t="s">
        <v>18</v>
      </c>
      <c r="E16" s="12"/>
      <c r="F16" s="9"/>
      <c r="G16" s="9"/>
      <c r="H16" s="9"/>
      <c r="I16" s="9" t="s">
        <v>19</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row>
    <row r="17" spans="1:69" ht="35.25" customHeight="1">
      <c r="A17" s="26" t="s">
        <v>13</v>
      </c>
      <c r="B17" s="27" t="s">
        <v>20</v>
      </c>
      <c r="C17" s="11"/>
      <c r="E17" s="29" t="str" cm="1">
        <f t="array" ref="E17">_xlfn.SWITCH(E14,"Dashboard","Interactive KPIs, dropdown filters, and three live management charts.","Business Insights","Department-level finance, monthly trends, variance, and value-to-cost analysis.","GIS Projects","Spatial project methods, coordinates, data-quality evidence, and GIS delivery records.","Team Leadership","Manager workload, project risk, capacity metrics, and a RACI governance model.","Advanced Formulas","XLOOKUP, FILTER, CHOOSECOLS, LET, SUMIFS, COUNTIFS, and dynamic arrays.","Pivot Analysis","A real PivotTable with Region and Project Type slicers.","Chart Gallery","Executive-ready comparison, trend, and workload visualizations.","Automation","Office Script samples and setup guidance for Microsoft 365 buttons.","README","Copy-ready GitHub documentation for the project showcase.","GIS Project Data","The structured 120-row GIS project table that powers every analysis.","")</f>
        <v>XLOOKUP, FILTER, CHOOSECOLS, LET, SUMIFS, COUNTIFS, and dynamic arrays.</v>
      </c>
      <c r="F17" s="11"/>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69" ht="35.25" customHeight="1">
      <c r="A18" s="24" t="s">
        <v>21</v>
      </c>
      <c r="B18" s="25" t="s">
        <v>22</v>
      </c>
      <c r="C18" s="11"/>
      <c r="D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row>
    <row r="19" spans="1:69" ht="35.25" customHeight="1">
      <c r="A19" s="26" t="s">
        <v>23</v>
      </c>
      <c r="B19" s="27" t="s">
        <v>24</v>
      </c>
      <c r="C19" s="11"/>
      <c r="D19" s="33" t="s">
        <v>25</v>
      </c>
      <c r="E19" s="12"/>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row>
    <row r="20" spans="1:69" ht="35.25" customHeight="1">
      <c r="A20" s="24" t="s">
        <v>26</v>
      </c>
      <c r="B20" s="25" t="s">
        <v>27</v>
      </c>
      <c r="C20" s="11"/>
      <c r="D20" s="9"/>
      <c r="E20" s="30" t="str" cm="1">
        <f t="array" ref="E20">_xlfn.SWITCH(E14,"Dashboard",TEXT(Dashboard!A7,"0")&amp;" projects | "&amp;TEXT(Dashboard!J7,"$#,##0")&amp;" value","Business Insights",TEXT('Business Insights'!B10,"$#,##0")&amp;" selected value","GIS Projects",TEXT(COUNTA('GIS Projects'!A15:A24),"0")&amp;" spatial records shown","Team Leadership",TEXT(SUM('Team Leadership'!B6:B11),"0")&amp;" managed projects","Advanced Formulas",'Advanced Formulas'!B6&amp;" | "&amp;'Advanced Formulas'!B12,"Pivot Analysis",TEXT('Pivot Analysis'!J14,"$#,##0")&amp;" total cost","Chart Gallery","3 professional chart types","Automation","2 Office Script examples","README","GitHub-ready project documentation","GIS Project Data",TEXT(ROWS(tblProjects[Project ID]),"0")&amp;" structured project rows","")</f>
        <v>North Asset Mapping 01 | LOW</v>
      </c>
      <c r="F20" s="11"/>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row>
    <row r="21" spans="1:69" ht="35.25" customHeight="1">
      <c r="A21" s="26" t="s">
        <v>28</v>
      </c>
      <c r="B21" s="27" t="s">
        <v>29</v>
      </c>
      <c r="C21" s="11"/>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row>
    <row r="22" spans="1:69" ht="35.25" customHeight="1">
      <c r="A22" s="24" t="s">
        <v>30</v>
      </c>
      <c r="B22" s="25" t="s">
        <v>31</v>
      </c>
      <c r="C22" s="32"/>
      <c r="D22" s="34" t="s">
        <v>32</v>
      </c>
      <c r="E22" s="31" t="s">
        <v>33</v>
      </c>
      <c r="F22" s="11"/>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row>
    <row r="23" spans="1:69" ht="15">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row>
    <row r="24" spans="1:69" ht="15">
      <c r="A24" s="185" t="s">
        <v>34</v>
      </c>
      <c r="B24" s="185"/>
      <c r="C24" s="185"/>
      <c r="D24" s="185"/>
      <c r="E24" s="185"/>
      <c r="F24" s="185"/>
      <c r="G24" s="185"/>
      <c r="H24" s="185"/>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row>
    <row r="25" spans="1:69" ht="78.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row>
    <row r="26" spans="1:69" ht="78.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row>
    <row r="27" spans="1:69" ht="78.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row>
    <row r="28" spans="1:69" ht="78.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row>
    <row r="29" spans="1:69" ht="78.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row>
    <row r="30" spans="1:69" ht="78.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row>
    <row r="31" spans="1:69" ht="78.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row>
    <row r="32" spans="1:69" ht="78.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row>
    <row r="33" spans="1:69" ht="78.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row>
    <row r="34" spans="1:69" ht="78.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row>
    <row r="35" spans="1:69" ht="78.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row>
    <row r="36" spans="1:69" ht="78.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row>
    <row r="37" spans="1:69" ht="78.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row>
    <row r="38" spans="1:69" ht="78.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row>
    <row r="39" spans="1:69" ht="78.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row>
    <row r="40" spans="1:69" ht="78.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row>
    <row r="41" spans="1:69" ht="78.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row>
    <row r="42" spans="1:69" ht="78.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row>
    <row r="43" spans="1:69" ht="78.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row>
    <row r="44" spans="1:69" ht="78.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row>
    <row r="45" spans="1:69" ht="78.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row>
    <row r="46" spans="1:69" ht="78.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row>
    <row r="47" spans="1:69" ht="78.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row>
    <row r="48" spans="1:69" ht="78.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row>
    <row r="49" spans="1:69" ht="78.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row>
    <row r="50" spans="1:69" ht="78.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row>
    <row r="51" spans="1:69" ht="78.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row>
    <row r="52" spans="1:69" ht="78.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row>
    <row r="53" spans="1:69" ht="78.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row>
    <row r="54" spans="1:69" ht="78.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row>
    <row r="55" spans="1:69" ht="78.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row>
    <row r="56" spans="1:69" ht="78.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row>
    <row r="57" spans="1:69" ht="78.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row>
    <row r="58" spans="1:69" ht="78.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row>
    <row r="59" spans="1:69" ht="78.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row>
    <row r="60" spans="1:69" ht="78.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row>
    <row r="61" spans="1:69" ht="78.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row>
    <row r="62" spans="1:69" ht="78.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row>
    <row r="63" spans="1:69" ht="78.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row>
    <row r="64" spans="1:69" ht="78.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row>
    <row r="65" spans="1:69" ht="78.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row>
    <row r="66" spans="1:69" ht="78.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row>
    <row r="67" spans="1:69" ht="78.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row>
    <row r="68" spans="1:69" ht="78.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row>
    <row r="69" spans="1:69" ht="78.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row>
    <row r="70" spans="1:69" ht="78.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row>
    <row r="71" spans="1:69" ht="78.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row>
    <row r="72" spans="1:69" ht="78.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row>
    <row r="73" spans="1:69" ht="78.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row>
    <row r="74" spans="1:69" ht="78.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row>
    <row r="75" spans="1:69" ht="78.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row>
    <row r="76" spans="1:69" ht="78.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row>
    <row r="77" spans="1:69" ht="78.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row>
    <row r="78" spans="1:69" ht="78.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row>
    <row r="79" spans="1:69" ht="78.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row>
    <row r="80" spans="1:69" ht="78.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row>
    <row r="81" spans="1:69" ht="78.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row>
    <row r="82" spans="1:69" ht="78.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row>
    <row r="83" spans="1:69" ht="78.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row>
    <row r="84" spans="1:69" ht="78.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row>
    <row r="85" spans="1:69" ht="78.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row>
    <row r="86" spans="1:69" ht="78.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row>
    <row r="87" spans="1:69" ht="78.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row>
    <row r="88" spans="1:69" ht="78.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row>
    <row r="89" spans="1:69" ht="78.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row>
    <row r="90" spans="1:69" ht="78.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row>
    <row r="91" spans="1:69" ht="78.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row>
  </sheetData>
  <mergeCells count="5">
    <mergeCell ref="A1:H3"/>
    <mergeCell ref="A5:H5"/>
    <mergeCell ref="A7:H7"/>
    <mergeCell ref="A8:H10"/>
    <mergeCell ref="A24:H24"/>
  </mergeCells>
  <dataValidations count="1">
    <dataValidation type="list" allowBlank="1" showInputMessage="1" showErrorMessage="1" sqref="E14" xr:uid="{2EBC303C-FBD7-4BAF-80FC-2992FF6B8B1F}">
      <formula1>"Dashboard,Business Insights,GIS Projects,Team Leadership,Advanced Formulas,Pivot Analysis,Chart Gallery,Automation,README,GIS Project Data"</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CB4-B2AF-4150-B498-9D73392004D3}">
  <sheetPr>
    <tabColor theme="4" tint="0.59999389629810485"/>
  </sheetPr>
  <dimension ref="A1:BW158"/>
  <sheetViews>
    <sheetView workbookViewId="0">
      <selection activeCell="G87" sqref="G87"/>
    </sheetView>
  </sheetViews>
  <sheetFormatPr defaultRowHeight="15"/>
  <cols>
    <col min="1" max="3" width="12.42578125" customWidth="1"/>
    <col min="4" max="4" width="14.42578125" customWidth="1"/>
    <col min="5" max="7" width="12.42578125" customWidth="1"/>
    <col min="8" max="8" width="7.5703125" customWidth="1"/>
    <col min="9" max="9" width="12.42578125" customWidth="1"/>
    <col min="10" max="10" width="13.7109375" customWidth="1"/>
    <col min="11" max="12" width="12.42578125" customWidth="1"/>
    <col min="14" max="14" width="12.42578125" customWidth="1"/>
    <col min="15" max="15" width="13.42578125" customWidth="1"/>
    <col min="16" max="16" width="5.7109375" customWidth="1"/>
    <col min="17" max="17" width="14.140625" bestFit="1" customWidth="1"/>
    <col min="18" max="18" width="15.140625" customWidth="1"/>
    <col min="19" max="19" width="3.140625" customWidth="1"/>
    <col min="20" max="20" width="2.85546875" customWidth="1"/>
  </cols>
  <sheetData>
    <row r="1" spans="1:71" ht="23.25">
      <c r="A1" s="167" t="s">
        <v>35</v>
      </c>
      <c r="B1" s="167"/>
      <c r="C1" s="167"/>
      <c r="D1" s="167"/>
      <c r="E1" s="167"/>
      <c r="F1" s="167"/>
      <c r="G1" s="167"/>
      <c r="H1" s="167"/>
      <c r="I1" s="167"/>
      <c r="J1" s="167"/>
      <c r="K1" s="167"/>
      <c r="L1" s="167"/>
      <c r="M1" s="40"/>
      <c r="N1" s="40"/>
      <c r="O1" s="40"/>
      <c r="P1" s="40"/>
      <c r="Q1" s="40"/>
      <c r="R1" s="40"/>
      <c r="S1" s="40"/>
      <c r="T1" s="40"/>
      <c r="U1" s="28" t="s">
        <v>36</v>
      </c>
      <c r="V1" s="28"/>
      <c r="W1" s="28"/>
      <c r="X1" s="28"/>
      <c r="Y1" s="28"/>
      <c r="Z1" s="28"/>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row>
    <row r="2" spans="1:71" ht="15.75" customHeight="1">
      <c r="A2" s="202" t="s">
        <v>37</v>
      </c>
      <c r="B2" s="203"/>
      <c r="C2" s="203"/>
      <c r="D2" s="203"/>
      <c r="E2" s="203"/>
      <c r="F2" s="203"/>
      <c r="G2" s="203"/>
      <c r="H2" s="203"/>
      <c r="I2" s="203"/>
      <c r="J2" s="203"/>
      <c r="K2" s="203"/>
      <c r="L2" s="204"/>
      <c r="M2" s="40"/>
      <c r="N2" s="46" t="s">
        <v>38</v>
      </c>
      <c r="O2" s="46" t="s">
        <v>39</v>
      </c>
      <c r="P2" s="40"/>
      <c r="Q2" s="46" t="s">
        <v>40</v>
      </c>
      <c r="R2" s="46" t="s">
        <v>41</v>
      </c>
      <c r="S2" s="40"/>
      <c r="T2" s="40"/>
      <c r="U2" s="190" t="str">
        <f>"1. Total project value is "&amp;TEXT(J7,"$#,##0")&amp;" against "&amp;TEXT(G7,"$#,##0")&amp;" actual cost."&amp;CHAR(10)&amp;CHAR(10)&amp;"2. Selected projects average "&amp;TEXT(A11,"0%")&amp;" completion."&amp;CHAR(10)&amp;CHAR(10)&amp;"3. Cost variance is "&amp;TEXT(D11,"$#,##0;-$#,##0")&amp;" and value/cost is "&amp;TEXT(G11,"0.00x")&amp;"."&amp;CHAR(10)&amp;CHAR(10)&amp;"4. "&amp;TEXT(J11,"0")&amp;" selected projects have a risk score of 7 or higher."</f>
        <v>1. Total project value is $6,879,278 against $4,801,292 actual cost.
2. Selected projects average 32% completion.
3. Cost variance is $45,092 and value/cost is 1.43x.
4. 27 selected projects have a risk score of 7 or higher.</v>
      </c>
      <c r="V2" s="191"/>
      <c r="W2" s="191"/>
      <c r="X2" s="191"/>
      <c r="Y2" s="191"/>
      <c r="Z2" s="19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row>
    <row r="3" spans="1:71">
      <c r="A3" s="41"/>
      <c r="B3" s="9"/>
      <c r="C3" s="11"/>
      <c r="D3" s="32"/>
      <c r="E3" s="9"/>
      <c r="F3" s="32"/>
      <c r="G3" s="42"/>
      <c r="H3" s="37"/>
      <c r="I3" s="36"/>
      <c r="J3" s="42"/>
      <c r="K3" s="36"/>
      <c r="L3" s="42"/>
      <c r="M3" s="40"/>
      <c r="N3" s="35" t="s">
        <v>42</v>
      </c>
      <c r="O3" s="35">
        <f>COUNTIFS(tblProjects[Status],N3,tblProjects[Region],IF($B$4="All","&lt;&gt;",$B$4))</f>
        <v>40</v>
      </c>
      <c r="P3" s="40"/>
      <c r="Q3" s="35" t="s">
        <v>43</v>
      </c>
      <c r="R3" s="45">
        <f>SUMIFS(tblProjects[Business Value],tblProjects[Region],Q3,tblProjects[Status],IF($E$4="All","&lt;&gt;",$E$4))</f>
        <v>1604813</v>
      </c>
      <c r="S3" s="40"/>
      <c r="T3" s="40"/>
      <c r="U3" s="190"/>
      <c r="V3" s="191"/>
      <c r="W3" s="191"/>
      <c r="X3" s="191"/>
      <c r="Y3" s="191"/>
      <c r="Z3" s="19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row>
    <row r="4" spans="1:71" ht="14.25" customHeight="1">
      <c r="A4" s="60" t="s">
        <v>40</v>
      </c>
      <c r="B4" s="205" t="s">
        <v>44</v>
      </c>
      <c r="C4" s="206"/>
      <c r="D4" s="61" t="s">
        <v>38</v>
      </c>
      <c r="E4" s="207" t="s">
        <v>45</v>
      </c>
      <c r="F4" s="208"/>
      <c r="G4" s="40"/>
      <c r="H4" s="40"/>
      <c r="I4" s="39"/>
      <c r="J4" s="10"/>
      <c r="K4" s="44"/>
      <c r="L4" s="40"/>
      <c r="M4" s="40"/>
      <c r="N4" s="47" t="s">
        <v>46</v>
      </c>
      <c r="O4" s="47">
        <f>COUNTIFS(tblProjects[Status],N4,tblProjects[Region],IF($B$4="All","&lt;&gt;",$B$4))</f>
        <v>26</v>
      </c>
      <c r="P4" s="40"/>
      <c r="Q4" s="47" t="s">
        <v>47</v>
      </c>
      <c r="R4" s="47">
        <f>SUMIFS(tblProjects[Business Value],tblProjects[Region],Q4,tblProjects[Status],IF($E$4="All","&lt;&gt;",$E$4))</f>
        <v>1021268</v>
      </c>
      <c r="S4" s="40"/>
      <c r="T4" s="40"/>
      <c r="U4" s="190"/>
      <c r="V4" s="191"/>
      <c r="W4" s="191"/>
      <c r="X4" s="191"/>
      <c r="Y4" s="191"/>
      <c r="Z4" s="19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row>
    <row r="5" spans="1:71">
      <c r="A5" s="38"/>
      <c r="B5" s="38"/>
      <c r="C5" s="43"/>
      <c r="D5" s="39"/>
      <c r="E5" s="43"/>
      <c r="F5" s="40"/>
      <c r="G5" s="40"/>
      <c r="H5" s="40"/>
      <c r="I5" s="39"/>
      <c r="J5" s="42"/>
      <c r="K5" s="37"/>
      <c r="L5" s="40"/>
      <c r="M5" s="40"/>
      <c r="N5" s="35" t="s">
        <v>48</v>
      </c>
      <c r="O5" s="35">
        <f>COUNTIFS(tblProjects[Status],N5,tblProjects[Region],IF($B$4="All","&lt;&gt;",$B$4))</f>
        <v>27</v>
      </c>
      <c r="P5" s="40"/>
      <c r="Q5" s="59" t="s">
        <v>49</v>
      </c>
      <c r="R5" s="59">
        <f>SUMIFS(tblProjects[Business Value],tblProjects[Region],Q5,tblProjects[Status],IF($E$4="All","&lt;&gt;",$E$4))</f>
        <v>1037319</v>
      </c>
      <c r="S5" s="40"/>
      <c r="T5" s="40"/>
      <c r="U5" s="190"/>
      <c r="V5" s="191"/>
      <c r="W5" s="191"/>
      <c r="X5" s="191"/>
      <c r="Y5" s="191"/>
      <c r="Z5" s="19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row>
    <row r="6" spans="1:71">
      <c r="A6" s="209" t="s">
        <v>50</v>
      </c>
      <c r="B6" s="196"/>
      <c r="C6" s="210"/>
      <c r="D6" s="196" t="s">
        <v>51</v>
      </c>
      <c r="E6" s="196"/>
      <c r="F6" s="196"/>
      <c r="G6" s="196" t="s">
        <v>52</v>
      </c>
      <c r="H6" s="196"/>
      <c r="I6" s="196"/>
      <c r="J6" s="196" t="s">
        <v>53</v>
      </c>
      <c r="K6" s="196"/>
      <c r="L6" s="196"/>
      <c r="M6" s="40"/>
      <c r="N6" s="47" t="s">
        <v>45</v>
      </c>
      <c r="O6" s="47">
        <f>COUNTIFS(tblProjects[Status],N6,tblProjects[Region],IF($B$4="All","&lt;&gt;",$B$4))</f>
        <v>27</v>
      </c>
      <c r="P6" s="40"/>
      <c r="Q6" s="47" t="s">
        <v>54</v>
      </c>
      <c r="R6" s="47">
        <f>SUMIFS(tblProjects[Business Value],tblProjects[Region],Q6,tblProjects[Status],IF($E$4="All","&lt;&gt;",$E$4))</f>
        <v>1548552</v>
      </c>
      <c r="S6" s="40"/>
      <c r="T6" s="40"/>
      <c r="U6" s="190"/>
      <c r="V6" s="191"/>
      <c r="W6" s="191"/>
      <c r="X6" s="191"/>
      <c r="Y6" s="191"/>
      <c r="Z6" s="19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row>
    <row r="7" spans="1:71">
      <c r="A7" s="201">
        <f>COUNTIFS(tblProjects[Region],IF($B$4="All","&lt;&gt;",$B$4),tblProjects[Status],IF($E$4="All","&lt;&gt;",$E$4))</f>
        <v>27</v>
      </c>
      <c r="B7" s="198"/>
      <c r="C7" s="198"/>
      <c r="D7" s="197">
        <f>SUMIFS(tblProjects[Budget],tblProjects[Region],IF($B$4="All","&lt;&gt;",$B$4),tblProjects[Status],IF($E$4="All","&lt;&gt;",$E$4))</f>
        <v>4756200</v>
      </c>
      <c r="E7" s="198"/>
      <c r="F7" s="198"/>
      <c r="G7" s="197">
        <f>SUMIFS(tblProjects[Actual Cost],tblProjects[Region],IF($B$4="All","&lt;&gt;",$B$4),tblProjects[Status],IF($E$4="All","&lt;&gt;",$E$4))</f>
        <v>4801292</v>
      </c>
      <c r="H7" s="198"/>
      <c r="I7" s="198"/>
      <c r="J7" s="197">
        <f>SUMIFS(tblProjects[Business Value],tblProjects[Region],IF($B$4="All","&lt;&gt;",$B$4),tblProjects[Status],IF($E$4="All","&lt;&gt;",$E$4))</f>
        <v>6879278</v>
      </c>
      <c r="K7" s="198"/>
      <c r="L7" s="198"/>
      <c r="M7" s="40"/>
      <c r="N7" s="40"/>
      <c r="O7" s="40"/>
      <c r="P7" s="40"/>
      <c r="Q7" s="35" t="s">
        <v>55</v>
      </c>
      <c r="R7" s="35">
        <f>SUMIFS(tblProjects[Business Value],tblProjects[Region],Q7,tblProjects[Status],IF($E$4="All","&lt;&gt;",$E$4))</f>
        <v>1667326</v>
      </c>
      <c r="S7" s="40"/>
      <c r="T7" s="40"/>
      <c r="U7" s="190"/>
      <c r="V7" s="191"/>
      <c r="W7" s="191"/>
      <c r="X7" s="191"/>
      <c r="Y7" s="191"/>
      <c r="Z7" s="19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row>
    <row r="8" spans="1:71">
      <c r="A8" s="198"/>
      <c r="B8" s="198"/>
      <c r="C8" s="198"/>
      <c r="D8" s="198"/>
      <c r="E8" s="198"/>
      <c r="F8" s="198"/>
      <c r="G8" s="198"/>
      <c r="H8" s="198"/>
      <c r="I8" s="198"/>
      <c r="J8" s="198"/>
      <c r="K8" s="198"/>
      <c r="L8" s="198"/>
      <c r="M8" s="40"/>
      <c r="N8" s="40"/>
      <c r="O8" s="40"/>
      <c r="P8" s="40"/>
      <c r="Q8" s="40"/>
      <c r="R8" s="40"/>
      <c r="S8" s="40"/>
      <c r="T8" s="40"/>
      <c r="U8" s="190"/>
      <c r="V8" s="191"/>
      <c r="W8" s="191"/>
      <c r="X8" s="191"/>
      <c r="Y8" s="191"/>
      <c r="Z8" s="19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row>
    <row r="9" spans="1:71">
      <c r="A9" s="38"/>
      <c r="B9" s="43"/>
      <c r="C9" s="39"/>
      <c r="D9" s="10"/>
      <c r="E9" s="44"/>
      <c r="F9" s="44"/>
      <c r="G9" s="40"/>
      <c r="H9" s="39"/>
      <c r="I9" s="43"/>
      <c r="J9" s="40"/>
      <c r="K9" s="40"/>
      <c r="L9" s="38"/>
      <c r="M9" s="40"/>
      <c r="N9" s="40"/>
      <c r="O9" s="40"/>
      <c r="P9" s="40"/>
      <c r="Q9" s="40"/>
      <c r="R9" s="40"/>
      <c r="S9" s="40"/>
      <c r="T9" s="40"/>
      <c r="U9" s="190"/>
      <c r="V9" s="191"/>
      <c r="W9" s="191"/>
      <c r="X9" s="191"/>
      <c r="Y9" s="191"/>
      <c r="Z9" s="19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row>
    <row r="10" spans="1:71">
      <c r="A10" s="199" t="s">
        <v>56</v>
      </c>
      <c r="B10" s="199"/>
      <c r="C10" s="199"/>
      <c r="D10" s="200" t="s">
        <v>57</v>
      </c>
      <c r="E10" s="200"/>
      <c r="F10" s="200"/>
      <c r="G10" s="199" t="s">
        <v>58</v>
      </c>
      <c r="H10" s="199"/>
      <c r="I10" s="199"/>
      <c r="J10" s="199" t="s">
        <v>59</v>
      </c>
      <c r="K10" s="199"/>
      <c r="L10" s="199"/>
      <c r="M10" s="40"/>
      <c r="N10" s="40"/>
      <c r="O10" s="40"/>
      <c r="P10" s="40"/>
      <c r="Q10" s="40"/>
      <c r="R10" s="40"/>
      <c r="S10" s="42"/>
      <c r="T10" s="40"/>
      <c r="U10" s="193"/>
      <c r="V10" s="194"/>
      <c r="W10" s="194"/>
      <c r="X10" s="194"/>
      <c r="Y10" s="194"/>
      <c r="Z10" s="195"/>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row>
    <row r="11" spans="1:71" ht="18.75">
      <c r="A11" s="186">
        <f>AVERAGEIFS(tblProjects[Completion %],tblProjects[Region],IF($B$4="All","&lt;&gt;",$B$4),tblProjects[Status],IF($E$4="All","&lt;&gt;",$E$4))</f>
        <v>0.32407407407407407</v>
      </c>
      <c r="B11" s="186"/>
      <c r="C11" s="186"/>
      <c r="D11" s="187">
        <f>G7-D7</f>
        <v>45092</v>
      </c>
      <c r="E11" s="187"/>
      <c r="F11" s="187"/>
      <c r="G11" s="188">
        <f>IFERROR(J7/G7,0)</f>
        <v>1.43279725540542</v>
      </c>
      <c r="H11" s="188"/>
      <c r="I11" s="188"/>
      <c r="J11" s="189">
        <f>COUNTIFS(tblProjects[Region],IF($B$4="All","&lt;&gt;",$B$4),tblProjects[Status],IF($E$4="All","&lt;&gt;",$E$4),tblProjects[Risk Score],"&gt;=7")</f>
        <v>27</v>
      </c>
      <c r="K11" s="189"/>
      <c r="L11" s="189"/>
      <c r="M11" s="40"/>
      <c r="N11" s="40"/>
      <c r="O11" s="40"/>
      <c r="P11" s="40"/>
      <c r="Q11" s="40"/>
      <c r="R11" s="40"/>
      <c r="S11" s="42"/>
      <c r="T11" s="40"/>
      <c r="U11" s="40"/>
      <c r="V11" s="40"/>
      <c r="W11" s="40"/>
      <c r="X11" s="40"/>
      <c r="Y11" s="40"/>
      <c r="Z11" s="40"/>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row>
    <row r="12" spans="1:71">
      <c r="A12" s="43"/>
      <c r="B12" s="39"/>
      <c r="C12" s="43"/>
      <c r="D12" s="40"/>
      <c r="E12" s="40"/>
      <c r="F12" s="40"/>
      <c r="G12" s="39"/>
      <c r="H12" s="43"/>
      <c r="I12" s="40"/>
      <c r="J12" s="43"/>
      <c r="K12" s="39"/>
      <c r="L12" s="43"/>
      <c r="M12" s="40"/>
      <c r="N12" s="40"/>
      <c r="O12" s="40"/>
      <c r="P12" s="40"/>
      <c r="Q12" s="40"/>
      <c r="R12" s="40"/>
      <c r="S12" s="40"/>
      <c r="T12" s="40"/>
      <c r="U12" s="40"/>
      <c r="V12" s="40"/>
      <c r="W12" s="40"/>
      <c r="X12" s="40"/>
      <c r="Y12" s="40"/>
      <c r="Z12" s="40"/>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row>
    <row r="13" spans="1:71">
      <c r="A13" s="9"/>
      <c r="B13" s="32"/>
      <c r="C13" s="9"/>
      <c r="D13" s="11"/>
      <c r="E13" s="40"/>
      <c r="F13" s="40"/>
      <c r="G13" s="39"/>
      <c r="H13" s="42"/>
      <c r="I13" s="37"/>
      <c r="J13" s="42"/>
      <c r="K13" s="36"/>
      <c r="L13" s="42"/>
      <c r="M13" s="40"/>
      <c r="N13" s="40"/>
      <c r="O13" s="40"/>
      <c r="P13" s="40"/>
      <c r="Q13" s="40"/>
      <c r="R13" s="40"/>
      <c r="S13" s="40"/>
      <c r="T13" s="40"/>
      <c r="U13" s="40"/>
      <c r="V13" s="40"/>
      <c r="W13" s="40"/>
      <c r="X13" s="40"/>
      <c r="Y13" s="40"/>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row>
    <row r="14" spans="1:71" ht="15.75">
      <c r="A14" s="49" t="s">
        <v>60</v>
      </c>
      <c r="B14" s="50" t="s">
        <v>61</v>
      </c>
      <c r="C14" s="50" t="s">
        <v>62</v>
      </c>
      <c r="D14" s="51" t="s">
        <v>41</v>
      </c>
      <c r="E14" s="40"/>
      <c r="F14" s="40"/>
      <c r="G14" s="39"/>
      <c r="H14" s="42"/>
      <c r="I14" s="37"/>
      <c r="J14" s="42"/>
      <c r="K14" s="36"/>
      <c r="L14" s="42"/>
      <c r="U14" s="40"/>
      <c r="V14" s="40"/>
      <c r="W14" s="40"/>
      <c r="X14" s="40"/>
      <c r="Y14" s="40"/>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row>
    <row r="15" spans="1:71">
      <c r="A15" s="52" t="s">
        <v>63</v>
      </c>
      <c r="B15" s="48">
        <f>SUMIFS(tblProjects[Budget],tblProjects[Month],A15,tblProjects[Region],IF($B$4="All","&lt;&gt;",$B$4),tblProjects[Status],IF($E$4="All","&lt;&gt;",$E$4))</f>
        <v>0</v>
      </c>
      <c r="C15" s="48">
        <f>SUMIFS(tblProjects[Actual Cost],tblProjects[Month],A15,tblProjects[Region],IF($B$4="All","&lt;&gt;",$B$4),tblProjects[Status],IF($E$4="All","&lt;&gt;",$E$4))</f>
        <v>0</v>
      </c>
      <c r="D15" s="53">
        <f>SUMIFS(tblProjects[Business Value],tblProjects[Month],A15,tblProjects[Region],IF($B$4="All","&lt;&gt;",$B$4),tblProjects[Status],IF($E$4="All","&lt;&gt;",$E$4))</f>
        <v>0</v>
      </c>
      <c r="E15" s="40"/>
      <c r="U15" s="40"/>
      <c r="V15" s="40"/>
      <c r="W15" s="40"/>
      <c r="X15" s="40"/>
      <c r="Y15" s="40"/>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row>
    <row r="16" spans="1:71">
      <c r="A16" s="54" t="s">
        <v>64</v>
      </c>
      <c r="B16" s="19">
        <f>SUMIFS(tblProjects[Budget],tblProjects[Month],A16,tblProjects[Region],IF($B$4="All","&lt;&gt;",$B$4),tblProjects[Status],IF($E$4="All","&lt;&gt;",$E$4))</f>
        <v>279566</v>
      </c>
      <c r="C16" s="19">
        <f>SUMIFS(tblProjects[Actual Cost],tblProjects[Month],A16,tblProjects[Region],IF($B$4="All","&lt;&gt;",$B$4),tblProjects[Status],IF($E$4="All","&lt;&gt;",$E$4))</f>
        <v>238650</v>
      </c>
      <c r="D16" s="55">
        <f>SUMIFS(tblProjects[Business Value],tblProjects[Month],A16,tblProjects[Region],IF($B$4="All","&lt;&gt;",$B$4),tblProjects[Status],IF($E$4="All","&lt;&gt;",$E$4))</f>
        <v>328248</v>
      </c>
      <c r="E16" s="40"/>
      <c r="U16" s="40"/>
      <c r="V16" s="40"/>
      <c r="W16" s="40"/>
      <c r="X16" s="40"/>
      <c r="Y16" s="40"/>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row>
    <row r="17" spans="1:71">
      <c r="A17" s="52" t="s">
        <v>65</v>
      </c>
      <c r="B17" s="48">
        <f>SUMIFS(tblProjects[Budget],tblProjects[Month],A17,tblProjects[Region],IF($B$4="All","&lt;&gt;",$B$4),tblProjects[Status],IF($E$4="All","&lt;&gt;",$E$4))</f>
        <v>485848</v>
      </c>
      <c r="C17" s="48">
        <f>SUMIFS(tblProjects[Actual Cost],tblProjects[Month],A17,tblProjects[Region],IF($B$4="All","&lt;&gt;",$B$4),tblProjects[Status],IF($E$4="All","&lt;&gt;",$E$4))</f>
        <v>539164</v>
      </c>
      <c r="D17" s="53">
        <f>SUMIFS(tblProjects[Business Value],tblProjects[Month],A17,tblProjects[Region],IF($B$4="All","&lt;&gt;",$B$4),tblProjects[Status],IF($E$4="All","&lt;&gt;",$E$4))</f>
        <v>713348</v>
      </c>
      <c r="E17" s="40"/>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row>
    <row r="18" spans="1:71">
      <c r="A18" s="54" t="s">
        <v>66</v>
      </c>
      <c r="B18" s="19">
        <f>SUMIFS(tblProjects[Budget],tblProjects[Month],A18,tblProjects[Region],IF($B$4="All","&lt;&gt;",$B$4),tblProjects[Status],IF($E$4="All","&lt;&gt;",$E$4))</f>
        <v>0</v>
      </c>
      <c r="C18" s="19">
        <f>SUMIFS(tblProjects[Actual Cost],tblProjects[Month],A18,tblProjects[Region],IF($B$4="All","&lt;&gt;",$B$4),tblProjects[Status],IF($E$4="All","&lt;&gt;",$E$4))</f>
        <v>0</v>
      </c>
      <c r="D18" s="55">
        <f>SUMIFS(tblProjects[Business Value],tblProjects[Month],A18,tblProjects[Region],IF($B$4="All","&lt;&gt;",$B$4),tblProjects[Status],IF($E$4="All","&lt;&gt;",$E$4))</f>
        <v>0</v>
      </c>
      <c r="E18" s="40"/>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row>
    <row r="19" spans="1:71">
      <c r="A19" s="52" t="s">
        <v>67</v>
      </c>
      <c r="B19" s="48">
        <f>SUMIFS(tblProjects[Budget],tblProjects[Month],A19,tblProjects[Region],IF($B$4="All","&lt;&gt;",$B$4),tblProjects[Status],IF($E$4="All","&lt;&gt;",$E$4))</f>
        <v>295996</v>
      </c>
      <c r="C19" s="48">
        <f>SUMIFS(tblProjects[Actual Cost],tblProjects[Month],A19,tblProjects[Region],IF($B$4="All","&lt;&gt;",$B$4),tblProjects[Status],IF($E$4="All","&lt;&gt;",$E$4))</f>
        <v>334475</v>
      </c>
      <c r="D19" s="53">
        <f>SUMIFS(tblProjects[Business Value],tblProjects[Month],A19,tblProjects[Region],IF($B$4="All","&lt;&gt;",$B$4),tblProjects[Status],IF($E$4="All","&lt;&gt;",$E$4))</f>
        <v>461575</v>
      </c>
      <c r="E19" s="40"/>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row>
    <row r="20" spans="1:71">
      <c r="A20" s="54" t="s">
        <v>68</v>
      </c>
      <c r="B20" s="19">
        <f>SUMIFS(tblProjects[Budget],tblProjects[Month],A20,tblProjects[Region],IF($B$4="All","&lt;&gt;",$B$4),tblProjects[Status],IF($E$4="All","&lt;&gt;",$E$4))</f>
        <v>418422</v>
      </c>
      <c r="C20" s="19">
        <f>SUMIFS(tblProjects[Actual Cost],tblProjects[Month],A20,tblProjects[Region],IF($B$4="All","&lt;&gt;",$B$4),tblProjects[Status],IF($E$4="All","&lt;&gt;",$E$4))</f>
        <v>424302</v>
      </c>
      <c r="D20" s="55">
        <f>SUMIFS(tblProjects[Business Value],tblProjects[Month],A20,tblProjects[Region],IF($B$4="All","&lt;&gt;",$B$4),tblProjects[Status],IF($E$4="All","&lt;&gt;",$E$4))</f>
        <v>562578</v>
      </c>
      <c r="E20" s="40"/>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row>
    <row r="21" spans="1:71">
      <c r="A21" s="52" t="s">
        <v>69</v>
      </c>
      <c r="B21" s="48">
        <f>SUMIFS(tblProjects[Budget],tblProjects[Month],A21,tblProjects[Region],IF($B$4="All","&lt;&gt;",$B$4),tblProjects[Status],IF($E$4="All","&lt;&gt;",$E$4))</f>
        <v>0</v>
      </c>
      <c r="C21" s="48">
        <f>SUMIFS(tblProjects[Actual Cost],tblProjects[Month],A21,tblProjects[Region],IF($B$4="All","&lt;&gt;",$B$4),tblProjects[Status],IF($E$4="All","&lt;&gt;",$E$4))</f>
        <v>0</v>
      </c>
      <c r="D21" s="53">
        <f>SUMIFS(tblProjects[Business Value],tblProjects[Month],A21,tblProjects[Region],IF($B$4="All","&lt;&gt;",$B$4),tblProjects[Status],IF($E$4="All","&lt;&gt;",$E$4))</f>
        <v>0</v>
      </c>
      <c r="E21" s="40"/>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row>
    <row r="22" spans="1:71">
      <c r="A22" s="54" t="s">
        <v>70</v>
      </c>
      <c r="B22" s="19">
        <f>SUMIFS(tblProjects[Budget],tblProjects[Month],A22,tblProjects[Region],IF($B$4="All","&lt;&gt;",$B$4),tblProjects[Status],IF($E$4="All","&lt;&gt;",$E$4))</f>
        <v>414418</v>
      </c>
      <c r="C22" s="19">
        <f>SUMIFS(tblProjects[Actual Cost],tblProjects[Month],A22,tblProjects[Region],IF($B$4="All","&lt;&gt;",$B$4),tblProjects[Status],IF($E$4="All","&lt;&gt;",$E$4))</f>
        <v>407725</v>
      </c>
      <c r="D22" s="55">
        <f>SUMIFS(tblProjects[Business Value],tblProjects[Month],A22,tblProjects[Region],IF($B$4="All","&lt;&gt;",$B$4),tblProjects[Status],IF($E$4="All","&lt;&gt;",$E$4))</f>
        <v>581408</v>
      </c>
      <c r="E22" s="40"/>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row>
    <row r="23" spans="1:71">
      <c r="A23" s="52" t="s">
        <v>71</v>
      </c>
      <c r="B23" s="48">
        <f>SUMIFS(tblProjects[Budget],tblProjects[Month],A23,tblProjects[Region],IF($B$4="All","&lt;&gt;",$B$4),tblProjects[Status],IF($E$4="All","&lt;&gt;",$E$4))</f>
        <v>120424</v>
      </c>
      <c r="C23" s="48">
        <f>SUMIFS(tblProjects[Actual Cost],tblProjects[Month],A23,tblProjects[Region],IF($B$4="All","&lt;&gt;",$B$4),tblProjects[Status],IF($E$4="All","&lt;&gt;",$E$4))</f>
        <v>109586</v>
      </c>
      <c r="D23" s="53">
        <f>SUMIFS(tblProjects[Business Value],tblProjects[Month],A23,tblProjects[Region],IF($B$4="All","&lt;&gt;",$B$4),tblProjects[Status],IF($E$4="All","&lt;&gt;",$E$4))</f>
        <v>146845</v>
      </c>
      <c r="E23" s="40"/>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row>
    <row r="24" spans="1:71">
      <c r="A24" s="54" t="s">
        <v>72</v>
      </c>
      <c r="B24" s="19">
        <f>SUMIFS(tblProjects[Budget],tblProjects[Month],A24,tblProjects[Region],IF($B$4="All","&lt;&gt;",$B$4),tblProjects[Status],IF($E$4="All","&lt;&gt;",$E$4))</f>
        <v>0</v>
      </c>
      <c r="C24" s="19">
        <f>SUMIFS(tblProjects[Actual Cost],tblProjects[Month],A24,tblProjects[Region],IF($B$4="All","&lt;&gt;",$B$4),tblProjects[Status],IF($E$4="All","&lt;&gt;",$E$4))</f>
        <v>0</v>
      </c>
      <c r="D24" s="55">
        <f>SUMIFS(tblProjects[Business Value],tblProjects[Month],A24,tblProjects[Region],IF($B$4="All","&lt;&gt;",$B$4),tblProjects[Status],IF($E$4="All","&lt;&gt;",$E$4))</f>
        <v>0</v>
      </c>
      <c r="E24" s="40"/>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row>
    <row r="25" spans="1:71">
      <c r="A25" s="52" t="s">
        <v>73</v>
      </c>
      <c r="B25" s="48">
        <f>SUMIFS(tblProjects[Budget],tblProjects[Month],A25,tblProjects[Region],IF($B$4="All","&lt;&gt;",$B$4),tblProjects[Status],IF($E$4="All","&lt;&gt;",$E$4))</f>
        <v>346992</v>
      </c>
      <c r="C25" s="48">
        <f>SUMIFS(tblProjects[Actual Cost],tblProjects[Month],A25,tblProjects[Region],IF($B$4="All","&lt;&gt;",$B$4),tblProjects[Status],IF($E$4="All","&lt;&gt;",$E$4))</f>
        <v>335067</v>
      </c>
      <c r="D25" s="53">
        <f>SUMIFS(tblProjects[Business Value],tblProjects[Month],A25,tblProjects[Region],IF($B$4="All","&lt;&gt;",$B$4),tblProjects[Status],IF($E$4="All","&lt;&gt;",$E$4))</f>
        <v>454794</v>
      </c>
      <c r="E25" s="40"/>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row>
    <row r="26" spans="1:71">
      <c r="A26" s="54" t="s">
        <v>74</v>
      </c>
      <c r="B26" s="19">
        <f>SUMIFS(tblProjects[Budget],tblProjects[Month],A26,tblProjects[Region],IF($B$4="All","&lt;&gt;",$B$4),tblProjects[Status],IF($E$4="All","&lt;&gt;",$E$4))</f>
        <v>308274</v>
      </c>
      <c r="C26" s="19">
        <f>SUMIFS(tblProjects[Actual Cost],tblProjects[Month],A26,tblProjects[Region],IF($B$4="All","&lt;&gt;",$B$4),tblProjects[Status],IF($E$4="All","&lt;&gt;",$E$4))</f>
        <v>285808</v>
      </c>
      <c r="D26" s="55">
        <f>SUMIFS(tblProjects[Business Value],tblProjects[Month],A26,tblProjects[Region],IF($B$4="All","&lt;&gt;",$B$4),tblProjects[Status],IF($E$4="All","&lt;&gt;",$E$4))</f>
        <v>387366</v>
      </c>
      <c r="E26" s="40"/>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row>
    <row r="27" spans="1:71">
      <c r="A27" s="52" t="s">
        <v>75</v>
      </c>
      <c r="B27" s="48">
        <f>SUMIFS(tblProjects[Budget],tblProjects[Month],A27,tblProjects[Region],IF($B$4="All","&lt;&gt;",$B$4),tblProjects[Status],IF($E$4="All","&lt;&gt;",$E$4))</f>
        <v>0</v>
      </c>
      <c r="C27" s="48">
        <f>SUMIFS(tblProjects[Actual Cost],tblProjects[Month],A27,tblProjects[Region],IF($B$4="All","&lt;&gt;",$B$4),tblProjects[Status],IF($E$4="All","&lt;&gt;",$E$4))</f>
        <v>0</v>
      </c>
      <c r="D27" s="53">
        <f>SUMIFS(tblProjects[Business Value],tblProjects[Month],A27,tblProjects[Region],IF($B$4="All","&lt;&gt;",$B$4),tblProjects[Status],IF($E$4="All","&lt;&gt;",$E$4))</f>
        <v>0</v>
      </c>
      <c r="E27" s="40"/>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row>
    <row r="28" spans="1:71">
      <c r="A28" s="54" t="s">
        <v>76</v>
      </c>
      <c r="B28" s="19">
        <f>SUMIFS(tblProjects[Budget],tblProjects[Month],A28,tblProjects[Region],IF($B$4="All","&lt;&gt;",$B$4),tblProjects[Status],IF($E$4="All","&lt;&gt;",$E$4))</f>
        <v>328974</v>
      </c>
      <c r="C28" s="19">
        <f>SUMIFS(tblProjects[Actual Cost],tblProjects[Month],A28,tblProjects[Region],IF($B$4="All","&lt;&gt;",$B$4),tblProjects[Status],IF($E$4="All","&lt;&gt;",$E$4))</f>
        <v>318564</v>
      </c>
      <c r="D28" s="55">
        <f>SUMIFS(tblProjects[Business Value],tblProjects[Month],A28,tblProjects[Region],IF($B$4="All","&lt;&gt;",$B$4),tblProjects[Status],IF($E$4="All","&lt;&gt;",$E$4))</f>
        <v>513284</v>
      </c>
      <c r="E28" s="40"/>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row>
    <row r="29" spans="1:71">
      <c r="A29" s="52" t="s">
        <v>77</v>
      </c>
      <c r="B29" s="48">
        <f>SUMIFS(tblProjects[Budget],tblProjects[Month],A29,tblProjects[Region],IF($B$4="All","&lt;&gt;",$B$4),tblProjects[Status],IF($E$4="All","&lt;&gt;",$E$4))</f>
        <v>77702</v>
      </c>
      <c r="C29" s="48">
        <f>SUMIFS(tblProjects[Actual Cost],tblProjects[Month],A29,tblProjects[Region],IF($B$4="All","&lt;&gt;",$B$4),tblProjects[Status],IF($E$4="All","&lt;&gt;",$E$4))</f>
        <v>69932</v>
      </c>
      <c r="D29" s="53">
        <f>SUMIFS(tblProjects[Business Value],tblProjects[Month],A29,tblProjects[Region],IF($B$4="All","&lt;&gt;",$B$4),tblProjects[Status],IF($E$4="All","&lt;&gt;",$E$4))</f>
        <v>106297</v>
      </c>
      <c r="E29" s="40"/>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row>
    <row r="30" spans="1:71">
      <c r="A30" s="54" t="s">
        <v>78</v>
      </c>
      <c r="B30" s="19">
        <f>SUMIFS(tblProjects[Budget],tblProjects[Month],A30,tblProjects[Region],IF($B$4="All","&lt;&gt;",$B$4),tblProjects[Status],IF($E$4="All","&lt;&gt;",$E$4))</f>
        <v>0</v>
      </c>
      <c r="C30" s="19">
        <f>SUMIFS(tblProjects[Actual Cost],tblProjects[Month],A30,tblProjects[Region],IF($B$4="All","&lt;&gt;",$B$4),tblProjects[Status],IF($E$4="All","&lt;&gt;",$E$4))</f>
        <v>0</v>
      </c>
      <c r="D30" s="55">
        <f>SUMIFS(tblProjects[Business Value],tblProjects[Month],A30,tblProjects[Region],IF($B$4="All","&lt;&gt;",$B$4),tblProjects[Status],IF($E$4="All","&lt;&gt;",$E$4))</f>
        <v>0</v>
      </c>
      <c r="E30" s="40"/>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row>
    <row r="31" spans="1:71">
      <c r="A31" s="52" t="s">
        <v>79</v>
      </c>
      <c r="B31" s="48">
        <f>SUMIFS(tblProjects[Budget],tblProjects[Month],A31,tblProjects[Region],IF($B$4="All","&lt;&gt;",$B$4),tblProjects[Status],IF($E$4="All","&lt;&gt;",$E$4))</f>
        <v>261548</v>
      </c>
      <c r="C31" s="48">
        <f>SUMIFS(tblProjects[Actual Cost],tblProjects[Month],A31,tblProjects[Region],IF($B$4="All","&lt;&gt;",$B$4),tblProjects[Status],IF($E$4="All","&lt;&gt;",$E$4))</f>
        <v>251707</v>
      </c>
      <c r="D31" s="53">
        <f>SUMIFS(tblProjects[Business Value],tblProjects[Month],A31,tblProjects[Region],IF($B$4="All","&lt;&gt;",$B$4),tblProjects[Status],IF($E$4="All","&lt;&gt;",$E$4))</f>
        <v>385464</v>
      </c>
      <c r="E31" s="40"/>
      <c r="F31" s="42"/>
      <c r="G31" s="42"/>
      <c r="H31" s="37"/>
      <c r="I31" s="42"/>
      <c r="J31" s="37"/>
      <c r="K31" s="36"/>
      <c r="L31" s="42"/>
      <c r="M31" s="37"/>
      <c r="N31" s="40"/>
      <c r="O31" s="40"/>
      <c r="P31" s="39"/>
      <c r="Q31" s="42"/>
      <c r="R31" s="37"/>
      <c r="S31" s="42"/>
      <c r="T31" s="37"/>
      <c r="U31" s="36"/>
      <c r="V31" s="42"/>
      <c r="W31" s="37"/>
      <c r="X31" s="40"/>
      <c r="Y31" s="40"/>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row>
    <row r="32" spans="1:71">
      <c r="A32" s="54" t="s">
        <v>80</v>
      </c>
      <c r="B32" s="19">
        <f>SUMIFS(tblProjects[Budget],tblProjects[Month],A32,tblProjects[Region],IF($B$4="All","&lt;&gt;",$B$4),tblProjects[Status],IF($E$4="All","&lt;&gt;",$E$4))</f>
        <v>222830</v>
      </c>
      <c r="C32" s="19">
        <f>SUMIFS(tblProjects[Actual Cost],tblProjects[Month],A32,tblProjects[Region],IF($B$4="All","&lt;&gt;",$B$4),tblProjects[Status],IF($E$4="All","&lt;&gt;",$E$4))</f>
        <v>200699</v>
      </c>
      <c r="D32" s="55">
        <f>SUMIFS(tblProjects[Business Value],tblProjects[Month],A32,tblProjects[Region],IF($B$4="All","&lt;&gt;",$B$4),tblProjects[Status],IF($E$4="All","&lt;&gt;",$E$4))</f>
        <v>306343</v>
      </c>
      <c r="E32" s="37"/>
      <c r="F32" s="42"/>
      <c r="G32" s="42"/>
      <c r="H32" s="42"/>
      <c r="I32" s="42"/>
      <c r="J32" s="42"/>
      <c r="K32" s="36"/>
      <c r="L32" s="42"/>
      <c r="M32" s="37"/>
      <c r="N32" s="40"/>
      <c r="O32" s="40"/>
      <c r="P32" s="39"/>
      <c r="Q32" s="42"/>
      <c r="R32" s="37"/>
      <c r="S32" s="42"/>
      <c r="T32" s="37"/>
      <c r="U32" s="36"/>
      <c r="V32" s="42"/>
      <c r="W32" s="37"/>
      <c r="X32" s="40"/>
      <c r="Y32" s="40"/>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row>
    <row r="33" spans="1:55">
      <c r="A33" s="52" t="s">
        <v>81</v>
      </c>
      <c r="B33" s="48">
        <f>SUMIFS(tblProjects[Budget],tblProjects[Month],A33,tblProjects[Region],IF($B$4="All","&lt;&gt;",$B$4),tblProjects[Status],IF($E$4="All","&lt;&gt;",$E$4))</f>
        <v>0</v>
      </c>
      <c r="C33" s="48">
        <f>SUMIFS(tblProjects[Actual Cost],tblProjects[Month],A33,tblProjects[Region],IF($B$4="All","&lt;&gt;",$B$4),tblProjects[Status],IF($E$4="All","&lt;&gt;",$E$4))</f>
        <v>0</v>
      </c>
      <c r="D33" s="53">
        <f>SUMIFS(tblProjects[Business Value],tblProjects[Month],A33,tblProjects[Region],IF($B$4="All","&lt;&gt;",$B$4),tblProjects[Status],IF($E$4="All","&lt;&gt;",$E$4))</f>
        <v>0</v>
      </c>
      <c r="E33" s="37"/>
      <c r="F33" s="42"/>
      <c r="G33" s="42"/>
      <c r="H33" s="42"/>
      <c r="I33" s="42"/>
      <c r="J33" s="42"/>
      <c r="L33" s="42"/>
      <c r="M33" s="37"/>
      <c r="N33" s="40"/>
      <c r="O33" s="40"/>
      <c r="P33" s="39"/>
      <c r="Q33" s="42"/>
      <c r="R33" s="37"/>
      <c r="S33" s="42"/>
      <c r="T33" s="42"/>
      <c r="U33" s="42"/>
      <c r="V33" s="42"/>
      <c r="W33" s="42"/>
      <c r="X33" s="42"/>
      <c r="Y33" s="40"/>
      <c r="Z33" s="39"/>
      <c r="AA33" s="42"/>
      <c r="AB33" s="37"/>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c r="A34" s="54" t="s">
        <v>82</v>
      </c>
      <c r="B34" s="19">
        <f>SUMIFS(tblProjects[Budget],tblProjects[Month],A34,tblProjects[Region],IF($B$4="All","&lt;&gt;",$B$4),tblProjects[Status],IF($E$4="All","&lt;&gt;",$E$4))</f>
        <v>164487</v>
      </c>
      <c r="C34" s="19">
        <f>SUMIFS(tblProjects[Actual Cost],tblProjects[Month],A34,tblProjects[Region],IF($B$4="All","&lt;&gt;",$B$4),tblProjects[Status],IF($E$4="All","&lt;&gt;",$E$4))</f>
        <v>194095</v>
      </c>
      <c r="D34" s="55">
        <f>SUMIFS(tblProjects[Business Value],tblProjects[Month],A34,tblProjects[Region],IF($B$4="All","&lt;&gt;",$B$4),tblProjects[Status],IF($E$4="All","&lt;&gt;",$E$4))</f>
        <v>308611</v>
      </c>
      <c r="E34" s="37"/>
      <c r="F34" s="42"/>
      <c r="G34" s="42"/>
      <c r="H34" s="42"/>
      <c r="I34" s="42"/>
      <c r="J34" s="42"/>
      <c r="K34" s="36"/>
      <c r="L34" s="42"/>
      <c r="M34" s="37"/>
      <c r="N34" s="40"/>
      <c r="O34" s="40"/>
      <c r="P34" s="39"/>
      <c r="Q34" s="42"/>
      <c r="R34" s="37"/>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c r="A35" s="52" t="s">
        <v>83</v>
      </c>
      <c r="B35" s="48">
        <f>SUMIFS(tblProjects[Budget],tblProjects[Month],A35,tblProjects[Region],IF($B$4="All","&lt;&gt;",$B$4),tblProjects[Status],IF($E$4="All","&lt;&gt;",$E$4))</f>
        <v>400404</v>
      </c>
      <c r="C35" s="48">
        <f>SUMIFS(tblProjects[Actual Cost],tblProjects[Month],A35,tblProjects[Region],IF($B$4="All","&lt;&gt;",$B$4),tblProjects[Status],IF($E$4="All","&lt;&gt;",$E$4))</f>
        <v>441598</v>
      </c>
      <c r="D35" s="53">
        <f>SUMIFS(tblProjects[Business Value],tblProjects[Month],A35,tblProjects[Region],IF($B$4="All","&lt;&gt;",$B$4),tblProjects[Status],IF($E$4="All","&lt;&gt;",$E$4))</f>
        <v>662497</v>
      </c>
      <c r="E35" s="40"/>
      <c r="H35" s="42"/>
      <c r="K35" s="36"/>
      <c r="L35" s="42"/>
      <c r="M35" s="36"/>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5" customHeight="1">
      <c r="A36" s="54" t="s">
        <v>84</v>
      </c>
      <c r="B36" s="19">
        <f>SUMIFS(tblProjects[Budget],tblProjects[Month],A36,tblProjects[Region],IF($B$4="All","&lt;&gt;",$B$4),tblProjects[Status],IF($E$4="All","&lt;&gt;",$E$4))</f>
        <v>0</v>
      </c>
      <c r="C36" s="19">
        <f>SUMIFS(tblProjects[Actual Cost],tblProjects[Month],A36,tblProjects[Region],IF($B$4="All","&lt;&gt;",$B$4),tblProjects[Status],IF($E$4="All","&lt;&gt;",$E$4))</f>
        <v>0</v>
      </c>
      <c r="D36" s="55">
        <f>SUMIFS(tblProjects[Business Value],tblProjects[Month],A36,tblProjects[Region],IF($B$4="All","&lt;&gt;",$B$4),tblProjects[Status],IF($E$4="All","&lt;&gt;",$E$4))</f>
        <v>0</v>
      </c>
      <c r="E36" s="40"/>
      <c r="H36" s="42"/>
      <c r="K36" s="36"/>
      <c r="L36" s="42"/>
      <c r="M36" s="36"/>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c r="A37" s="52" t="s">
        <v>85</v>
      </c>
      <c r="B37" s="48">
        <f>SUMIFS(tblProjects[Budget],tblProjects[Month],A37,tblProjects[Region],IF($B$4="All","&lt;&gt;",$B$4),tblProjects[Status],IF($E$4="All","&lt;&gt;",$E$4))</f>
        <v>396400</v>
      </c>
      <c r="C37" s="48">
        <f>SUMIFS(tblProjects[Actual Cost],tblProjects[Month],A37,tblProjects[Region],IF($B$4="All","&lt;&gt;",$B$4),tblProjects[Status],IF($E$4="All","&lt;&gt;",$E$4))</f>
        <v>425362</v>
      </c>
      <c r="D37" s="53">
        <f>SUMIFS(tblProjects[Business Value],tblProjects[Month],A37,tblProjects[Region],IF($B$4="All","&lt;&gt;",$B$4),tblProjects[Status],IF($E$4="All","&lt;&gt;",$E$4))</f>
        <v>612555</v>
      </c>
      <c r="E37" s="37"/>
      <c r="H37" s="42"/>
      <c r="K37" s="36"/>
      <c r="L37" s="42"/>
      <c r="M37" s="36"/>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c r="A38" s="56" t="s">
        <v>86</v>
      </c>
      <c r="B38" s="57">
        <f>SUMIFS(tblProjects[Budget],tblProjects[Month],A38,tblProjects[Region],IF($B$4="All","&lt;&gt;",$B$4),tblProjects[Status],IF($E$4="All","&lt;&gt;",$E$4))</f>
        <v>233915</v>
      </c>
      <c r="C38" s="57">
        <f>SUMIFS(tblProjects[Actual Cost],tblProjects[Month],A38,tblProjects[Region],IF($B$4="All","&lt;&gt;",$B$4),tblProjects[Status],IF($E$4="All","&lt;&gt;",$E$4))</f>
        <v>224558</v>
      </c>
      <c r="D38" s="58">
        <f>SUMIFS(tblProjects[Business Value],tblProjects[Month],A38,tblProjects[Region],IF($B$4="All","&lt;&gt;",$B$4),tblProjects[Status],IF($E$4="All","&lt;&gt;",$E$4))</f>
        <v>348065</v>
      </c>
      <c r="E38" s="37"/>
      <c r="H38" s="42"/>
      <c r="K38" s="42"/>
      <c r="L38" s="42"/>
      <c r="M38" s="36"/>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c r="A39" s="43"/>
      <c r="B39" s="39"/>
      <c r="C39" s="43"/>
      <c r="D39" s="39"/>
      <c r="E39" s="42"/>
      <c r="H39" s="42"/>
      <c r="K39" s="42"/>
      <c r="L39" s="42"/>
      <c r="M39" s="36"/>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c r="A40" s="42"/>
      <c r="B40" s="36"/>
      <c r="C40" s="42"/>
      <c r="D40" s="36"/>
      <c r="E40" s="42"/>
      <c r="F40" s="42"/>
      <c r="G40" s="42"/>
      <c r="H40" s="42"/>
      <c r="K40" s="42"/>
      <c r="L40" s="42"/>
      <c r="M40" s="36"/>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c r="A41" s="42"/>
      <c r="B41" s="36"/>
      <c r="C41" s="42"/>
      <c r="D41" s="36"/>
      <c r="E41" s="42"/>
      <c r="F41" s="42"/>
      <c r="G41" s="42"/>
      <c r="H41" s="42"/>
      <c r="I41" s="42"/>
      <c r="J41" s="42"/>
      <c r="K41" s="42"/>
      <c r="L41" s="42"/>
      <c r="M41" s="36"/>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row>
    <row r="42" spans="1:55">
      <c r="A42" s="42"/>
      <c r="B42" s="36"/>
      <c r="C42" s="42"/>
      <c r="D42" s="36"/>
      <c r="E42" s="42"/>
      <c r="F42" s="42"/>
      <c r="G42" s="42"/>
      <c r="H42" s="42"/>
      <c r="I42" s="42"/>
      <c r="J42" s="42"/>
      <c r="K42" s="36"/>
      <c r="L42" s="42"/>
      <c r="M42" s="36"/>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row>
    <row r="43" spans="1:55">
      <c r="A43" s="42"/>
      <c r="B43" s="36"/>
      <c r="C43" s="42"/>
      <c r="D43" s="36"/>
      <c r="E43" s="42"/>
      <c r="F43" s="42"/>
      <c r="G43" s="42"/>
      <c r="H43" s="42"/>
      <c r="I43" s="42"/>
      <c r="J43" s="42"/>
      <c r="K43" s="36"/>
      <c r="L43" s="42"/>
      <c r="M43" s="36"/>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row>
    <row r="44" spans="1:55">
      <c r="A44" s="42"/>
      <c r="B44" s="36"/>
      <c r="C44" s="42"/>
      <c r="D44" s="36"/>
      <c r="E44" s="42"/>
      <c r="F44" s="42"/>
      <c r="G44" s="42"/>
      <c r="H44" s="42"/>
      <c r="I44" s="42"/>
      <c r="J44" s="42"/>
      <c r="K44" s="36"/>
      <c r="L44" s="42"/>
      <c r="M44" s="36"/>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row>
    <row r="45" spans="1:55">
      <c r="A45" s="42"/>
      <c r="B45" s="36"/>
      <c r="C45" s="42"/>
      <c r="D45" s="36"/>
      <c r="E45" s="42"/>
      <c r="F45" s="42"/>
      <c r="G45" s="42"/>
      <c r="H45" s="42"/>
      <c r="I45" s="42"/>
      <c r="J45" s="42"/>
      <c r="K45" s="36"/>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row>
    <row r="46" spans="1:55">
      <c r="A46" s="42"/>
      <c r="B46" s="36"/>
      <c r="C46" s="42"/>
      <c r="D46" s="36"/>
      <c r="E46" s="42"/>
      <c r="F46" s="42"/>
      <c r="G46" s="42"/>
      <c r="H46" s="42"/>
      <c r="I46" s="42"/>
      <c r="J46" s="42"/>
      <c r="K46" s="36"/>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row>
    <row r="47" spans="1:55">
      <c r="A47" s="42"/>
      <c r="B47" s="36"/>
      <c r="C47" s="42"/>
      <c r="D47" s="36"/>
      <c r="E47" s="42"/>
      <c r="F47" s="42"/>
      <c r="G47" s="42"/>
      <c r="H47" s="42"/>
      <c r="I47" s="42"/>
      <c r="J47" s="42"/>
      <c r="K47" s="36"/>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row>
    <row r="48" spans="1:55">
      <c r="A48" s="42"/>
      <c r="B48" s="36"/>
      <c r="C48" s="42"/>
      <c r="D48" s="36"/>
      <c r="E48" s="42"/>
      <c r="F48" s="42"/>
      <c r="G48" s="42"/>
      <c r="H48" s="42"/>
      <c r="I48" s="42"/>
      <c r="J48" s="42"/>
      <c r="K48" s="36"/>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row>
    <row r="49" spans="1:55">
      <c r="A49" s="42"/>
      <c r="B49" s="36"/>
      <c r="C49" s="42"/>
      <c r="D49" s="36"/>
      <c r="E49" s="42"/>
      <c r="F49" s="42"/>
      <c r="G49" s="42"/>
      <c r="H49" s="42"/>
      <c r="I49" s="42"/>
      <c r="J49" s="42"/>
      <c r="K49" s="36"/>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row>
    <row r="50" spans="1:55">
      <c r="A50" s="42"/>
      <c r="B50" s="36"/>
      <c r="C50" s="42"/>
      <c r="D50" s="36"/>
      <c r="E50" s="42"/>
      <c r="F50" s="42"/>
      <c r="G50" s="42"/>
      <c r="H50" s="42"/>
      <c r="I50" s="42"/>
      <c r="J50" s="42"/>
      <c r="K50" s="36"/>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row>
    <row r="51" spans="1:55">
      <c r="A51" s="42"/>
      <c r="B51" s="36"/>
      <c r="C51" s="42"/>
      <c r="D51" s="36"/>
      <c r="E51" s="42"/>
      <c r="F51" s="42"/>
      <c r="G51" s="42"/>
      <c r="H51" s="42"/>
      <c r="I51" s="42"/>
      <c r="J51" s="42"/>
      <c r="K51" s="36"/>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row>
    <row r="52" spans="1:55">
      <c r="A52" s="42"/>
      <c r="B52" s="36"/>
      <c r="C52" s="42"/>
      <c r="D52" s="36"/>
      <c r="E52" s="42"/>
      <c r="F52" s="42"/>
      <c r="G52" s="42"/>
      <c r="H52" s="42"/>
      <c r="I52" s="42"/>
      <c r="J52" s="42"/>
      <c r="K52" s="36"/>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row>
    <row r="53" spans="1:55">
      <c r="A53" s="42"/>
      <c r="B53" s="36"/>
      <c r="C53" s="42"/>
      <c r="D53" s="36"/>
      <c r="E53" s="42"/>
      <c r="F53" s="42"/>
      <c r="G53" s="42"/>
      <c r="H53" s="42"/>
      <c r="I53" s="42"/>
      <c r="J53" s="42"/>
      <c r="K53" s="36"/>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row>
    <row r="54" spans="1:55">
      <c r="A54" s="42"/>
      <c r="B54" s="36"/>
      <c r="C54" s="42"/>
      <c r="D54" s="36"/>
      <c r="E54" s="42"/>
      <c r="F54" s="42"/>
      <c r="G54" s="42"/>
      <c r="H54" s="42"/>
      <c r="I54" s="42"/>
      <c r="J54" s="42"/>
      <c r="K54" s="36"/>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row>
    <row r="55" spans="1:55">
      <c r="A55" s="42"/>
      <c r="B55" s="36"/>
      <c r="C55" s="42"/>
      <c r="D55" s="36"/>
      <c r="E55" s="42"/>
      <c r="F55" s="42"/>
      <c r="G55" s="42"/>
      <c r="H55" s="42"/>
      <c r="I55" s="42"/>
      <c r="J55" s="42"/>
      <c r="K55" s="36"/>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row>
    <row r="56" spans="1:55">
      <c r="A56" s="42"/>
      <c r="B56" s="36"/>
      <c r="C56" s="42"/>
      <c r="D56" s="36"/>
      <c r="E56" s="42"/>
      <c r="F56" s="42"/>
      <c r="G56" s="42"/>
      <c r="H56" s="42"/>
      <c r="I56" s="42"/>
      <c r="J56" s="42"/>
      <c r="K56" s="36"/>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row>
    <row r="57" spans="1:55">
      <c r="A57" s="42"/>
      <c r="B57" s="36"/>
      <c r="C57" s="42"/>
      <c r="D57" s="36"/>
      <c r="E57" s="42"/>
      <c r="F57" s="42"/>
      <c r="G57" s="42"/>
      <c r="H57" s="42"/>
      <c r="I57" s="42"/>
      <c r="J57" s="42"/>
      <c r="K57" s="36"/>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row>
    <row r="58" spans="1:55">
      <c r="A58" s="42"/>
      <c r="B58" s="36"/>
      <c r="C58" s="42"/>
      <c r="D58" s="36"/>
      <c r="E58" s="42"/>
      <c r="F58" s="42"/>
      <c r="G58" s="42"/>
      <c r="H58" s="42"/>
      <c r="I58" s="42"/>
      <c r="J58" s="42"/>
      <c r="K58" s="36"/>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row>
    <row r="59" spans="1:55">
      <c r="A59" s="42"/>
      <c r="B59" s="36"/>
      <c r="C59" s="42"/>
      <c r="D59" s="36"/>
      <c r="E59" s="42"/>
      <c r="F59" s="42"/>
      <c r="G59" s="42"/>
      <c r="H59" s="42"/>
      <c r="I59" s="42"/>
      <c r="J59" s="42"/>
      <c r="K59" s="36"/>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row>
    <row r="60" spans="1:55">
      <c r="A60" s="42"/>
      <c r="B60" s="36"/>
      <c r="C60" s="42"/>
      <c r="D60" s="36"/>
      <c r="E60" s="42"/>
      <c r="F60" s="42"/>
      <c r="G60" s="42"/>
      <c r="H60" s="42"/>
      <c r="I60" s="42"/>
      <c r="J60" s="42"/>
      <c r="K60" s="36"/>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row>
    <row r="61" spans="1:55">
      <c r="A61" s="42"/>
      <c r="B61" s="42"/>
      <c r="C61" s="42"/>
      <c r="D61" s="42"/>
      <c r="E61" s="42"/>
      <c r="F61" s="42"/>
      <c r="G61" s="42"/>
      <c r="H61" s="42"/>
      <c r="I61" s="42"/>
      <c r="J61" s="42"/>
      <c r="K61" s="36"/>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row>
    <row r="62" spans="1:55">
      <c r="A62" s="42"/>
      <c r="B62" s="42"/>
      <c r="C62" s="42"/>
      <c r="D62" s="42"/>
      <c r="E62" s="42"/>
      <c r="F62" s="42"/>
      <c r="G62" s="42"/>
      <c r="H62" s="42"/>
      <c r="I62" s="42"/>
      <c r="J62" s="42"/>
      <c r="K62" s="36"/>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row>
    <row r="63" spans="1:55">
      <c r="A63" s="42"/>
      <c r="B63" s="42"/>
      <c r="C63" s="42"/>
      <c r="D63" s="42"/>
      <c r="E63" s="42"/>
      <c r="F63" s="42"/>
      <c r="G63" s="42"/>
      <c r="H63" s="42"/>
      <c r="I63" s="42"/>
      <c r="J63" s="42"/>
      <c r="K63" s="36"/>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row>
    <row r="64" spans="1:55">
      <c r="A64" s="42"/>
      <c r="B64" s="42"/>
      <c r="C64" s="42"/>
      <c r="D64" s="42"/>
      <c r="E64" s="42"/>
      <c r="F64" s="42"/>
      <c r="G64" s="42"/>
      <c r="H64" s="42"/>
      <c r="I64" s="42"/>
      <c r="J64" s="42"/>
      <c r="K64" s="36"/>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row>
    <row r="65" spans="1:75">
      <c r="A65" s="42"/>
      <c r="B65" s="42"/>
      <c r="C65" s="42"/>
      <c r="D65" s="42"/>
      <c r="E65" s="42"/>
      <c r="F65" s="42"/>
      <c r="G65" s="42"/>
      <c r="H65" s="42"/>
      <c r="I65" s="42"/>
      <c r="J65" s="42"/>
      <c r="K65" s="36"/>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row>
    <row r="66" spans="1:75">
      <c r="A66" s="42"/>
      <c r="B66" s="42"/>
      <c r="C66" s="42"/>
      <c r="D66" s="42"/>
      <c r="E66" s="42"/>
      <c r="F66" s="42"/>
      <c r="G66" s="42"/>
      <c r="H66" s="42"/>
      <c r="I66" s="42"/>
      <c r="J66" s="42"/>
      <c r="K66" s="36"/>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row>
    <row r="67" spans="1:75">
      <c r="A67" s="42"/>
      <c r="B67" s="42"/>
      <c r="C67" s="42"/>
      <c r="D67" s="42"/>
      <c r="E67" s="42"/>
      <c r="F67" s="42"/>
      <c r="G67" s="42"/>
      <c r="H67" s="42"/>
      <c r="I67" s="42"/>
      <c r="J67" s="42"/>
      <c r="K67" s="36"/>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row>
    <row r="68" spans="1:75">
      <c r="A68" s="42"/>
      <c r="B68" s="42"/>
      <c r="C68" s="42"/>
      <c r="D68" s="42"/>
      <c r="E68" s="42"/>
      <c r="F68" s="42"/>
      <c r="G68" s="42"/>
      <c r="H68" s="42"/>
      <c r="I68" s="42"/>
      <c r="J68" s="42"/>
      <c r="K68" s="36"/>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row>
    <row r="69" spans="1:75">
      <c r="A69" s="42"/>
      <c r="B69" s="42"/>
      <c r="C69" s="42"/>
      <c r="D69" s="42"/>
      <c r="E69" s="42"/>
      <c r="F69" s="42"/>
      <c r="G69" s="42"/>
      <c r="H69" s="42"/>
      <c r="I69" s="42"/>
      <c r="J69" s="42"/>
      <c r="K69" s="36"/>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row>
    <row r="70" spans="1:75">
      <c r="A70" s="42"/>
      <c r="B70" s="42"/>
      <c r="C70" s="42"/>
      <c r="D70" s="42"/>
      <c r="E70" s="42"/>
      <c r="F70" s="42"/>
      <c r="G70" s="42"/>
      <c r="H70" s="42"/>
      <c r="I70" s="42"/>
      <c r="J70" s="42"/>
      <c r="K70" s="36"/>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75">
      <c r="A71" s="42"/>
      <c r="B71" s="42"/>
      <c r="C71" s="42"/>
      <c r="D71" s="42"/>
      <c r="E71" s="42"/>
      <c r="F71" s="42"/>
      <c r="G71" s="42"/>
      <c r="H71" s="42"/>
      <c r="I71" s="42"/>
      <c r="J71" s="42"/>
      <c r="K71" s="36"/>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75">
      <c r="A72" s="42"/>
      <c r="B72" s="42"/>
      <c r="C72" s="42"/>
      <c r="D72" s="42"/>
      <c r="E72" s="42"/>
      <c r="F72" s="42"/>
      <c r="G72" s="42"/>
      <c r="H72" s="42"/>
      <c r="I72" s="42"/>
      <c r="J72" s="42"/>
      <c r="K72" s="36"/>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75">
      <c r="A73" s="42"/>
      <c r="B73" s="42"/>
      <c r="C73" s="42"/>
      <c r="D73" s="42"/>
      <c r="E73" s="42"/>
      <c r="F73" s="42"/>
      <c r="G73" s="42"/>
      <c r="H73" s="42"/>
      <c r="I73" s="42"/>
      <c r="J73" s="42"/>
      <c r="K73" s="36"/>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75">
      <c r="A74" s="42"/>
      <c r="B74" s="42"/>
      <c r="C74" s="42"/>
      <c r="D74" s="42"/>
      <c r="E74" s="42"/>
      <c r="F74" s="42"/>
      <c r="G74" s="42"/>
      <c r="H74" s="42"/>
      <c r="I74" s="42"/>
      <c r="J74" s="42"/>
      <c r="K74" s="36"/>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75">
      <c r="A75" s="42"/>
      <c r="B75" s="42"/>
      <c r="C75" s="42"/>
      <c r="D75" s="42"/>
      <c r="E75" s="42"/>
      <c r="F75" s="42"/>
      <c r="G75" s="42"/>
      <c r="H75" s="42"/>
      <c r="I75" s="42"/>
      <c r="J75" s="42"/>
      <c r="K75" s="36"/>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75">
      <c r="A76" s="42"/>
      <c r="B76" s="42"/>
      <c r="C76" s="42"/>
      <c r="D76" s="42"/>
      <c r="E76" s="42"/>
      <c r="F76" s="42"/>
      <c r="G76" s="42"/>
      <c r="H76" s="42"/>
      <c r="I76" s="42"/>
      <c r="J76" s="42"/>
      <c r="K76" s="36"/>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row>
    <row r="77" spans="1:75">
      <c r="A77" s="42"/>
      <c r="B77" s="42"/>
      <c r="C77" s="42"/>
      <c r="D77" s="42"/>
      <c r="E77" s="42"/>
      <c r="F77" s="42"/>
      <c r="G77" s="42"/>
      <c r="H77" s="42"/>
      <c r="I77" s="42"/>
      <c r="J77" s="42"/>
      <c r="K77" s="36"/>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row>
    <row r="78" spans="1:75">
      <c r="A78" s="42"/>
      <c r="B78" s="42"/>
      <c r="C78" s="42"/>
      <c r="D78" s="42"/>
      <c r="E78" s="42"/>
      <c r="F78" s="42"/>
      <c r="G78" s="42"/>
      <c r="H78" s="42"/>
      <c r="I78" s="42"/>
      <c r="J78" s="42"/>
      <c r="K78" s="36"/>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row>
    <row r="79" spans="1:75">
      <c r="A79" s="42"/>
      <c r="B79" s="42"/>
      <c r="C79" s="42"/>
      <c r="D79" s="42"/>
      <c r="E79" s="42"/>
      <c r="F79" s="42"/>
      <c r="G79" s="42"/>
      <c r="H79" s="42"/>
      <c r="I79" s="42"/>
      <c r="J79" s="42"/>
      <c r="K79" s="36"/>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row>
    <row r="80" spans="1:75">
      <c r="A80" s="42"/>
      <c r="B80" s="42"/>
      <c r="C80" s="42"/>
      <c r="D80" s="42"/>
      <c r="E80" s="42"/>
      <c r="F80" s="42"/>
      <c r="G80" s="42"/>
      <c r="H80" s="42"/>
      <c r="I80" s="42"/>
      <c r="J80" s="42"/>
      <c r="K80" s="36"/>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row>
    <row r="81" spans="1:75">
      <c r="A81" s="42"/>
      <c r="B81" s="42"/>
      <c r="C81" s="42"/>
      <c r="D81" s="42"/>
      <c r="E81" s="42"/>
      <c r="F81" s="42"/>
      <c r="G81" s="42"/>
      <c r="H81" s="42"/>
      <c r="I81" s="42"/>
      <c r="J81" s="42"/>
      <c r="K81" s="36"/>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row>
    <row r="82" spans="1:75">
      <c r="A82" s="42"/>
      <c r="B82" s="42"/>
      <c r="C82" s="42"/>
      <c r="D82" s="42"/>
      <c r="E82" s="42"/>
      <c r="F82" s="42"/>
      <c r="G82" s="42"/>
      <c r="H82" s="42"/>
      <c r="I82" s="42"/>
      <c r="J82" s="42"/>
      <c r="K82" s="36"/>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row>
    <row r="83" spans="1:75">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row>
    <row r="84" spans="1:75">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row>
    <row r="85" spans="1:7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row>
    <row r="86" spans="1:7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row>
    <row r="87" spans="1:7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row>
    <row r="88" spans="1:7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row>
    <row r="89" spans="1:7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row>
    <row r="90" spans="1:7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row>
    <row r="91" spans="1:7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row>
    <row r="92" spans="1:7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row>
    <row r="93" spans="1:7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row>
    <row r="94" spans="1:7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row>
    <row r="95" spans="1:7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row>
    <row r="96" spans="1:7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row>
    <row r="97" spans="1:7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row>
    <row r="98" spans="1:7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row>
    <row r="99" spans="1:7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row>
    <row r="100" spans="1:7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row>
    <row r="101" spans="1:7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row>
    <row r="102" spans="1:7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row>
    <row r="103" spans="1:7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row>
    <row r="104" spans="1:7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row>
    <row r="105" spans="1:7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row>
    <row r="106" spans="1:7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row>
    <row r="107" spans="1:7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row>
    <row r="108" spans="1:7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row>
    <row r="109" spans="1:7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row>
    <row r="110" spans="1:7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row>
    <row r="111" spans="1:7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row>
    <row r="112" spans="1:7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row>
    <row r="113" spans="1:7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row>
    <row r="114" spans="1:7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row>
    <row r="115" spans="1:7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row>
    <row r="116" spans="1:7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row>
    <row r="117" spans="1:7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row>
    <row r="118" spans="1:7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row>
    <row r="119" spans="1:7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row>
    <row r="120" spans="1:7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row>
    <row r="121" spans="1:7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row>
    <row r="122" spans="1:7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row>
    <row r="123" spans="1:7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row>
    <row r="124" spans="1:7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row>
    <row r="125" spans="1:7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row>
    <row r="126" spans="1:7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row>
    <row r="127" spans="1:7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row>
    <row r="128" spans="1:7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row>
    <row r="129" spans="1:75">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row>
    <row r="130" spans="1:75">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row>
    <row r="131" spans="1:75">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row>
    <row r="132" spans="1:75">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row>
    <row r="133" spans="1:75">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row>
    <row r="134" spans="1:75">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row>
    <row r="135" spans="1:7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row>
    <row r="136" spans="1:75">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row>
    <row r="137" spans="1:75">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row>
    <row r="138" spans="1:75">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row>
    <row r="139" spans="1:75">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row>
    <row r="140" spans="1:75">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row>
    <row r="141" spans="1:75">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row>
    <row r="142" spans="1:75">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row>
    <row r="143" spans="1:75">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row>
    <row r="144" spans="1:75">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row>
    <row r="145" spans="1:7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row>
    <row r="146" spans="1:75">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row>
    <row r="147" spans="1:75">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row>
    <row r="148" spans="1:75">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row>
    <row r="149" spans="1:75">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row>
    <row r="150" spans="1:75">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row>
    <row r="151" spans="1:75">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row>
    <row r="152" spans="1:75">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row>
    <row r="153" spans="1:75">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row>
    <row r="154" spans="1:75">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row>
    <row r="155" spans="1:7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row>
    <row r="156" spans="1:75">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row>
    <row r="157" spans="1:75">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row>
    <row r="158" spans="1:75">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row>
  </sheetData>
  <mergeCells count="21">
    <mergeCell ref="A1:L1"/>
    <mergeCell ref="A2:L2"/>
    <mergeCell ref="B4:C4"/>
    <mergeCell ref="E4:F4"/>
    <mergeCell ref="A6:C6"/>
    <mergeCell ref="D6:F6"/>
    <mergeCell ref="G6:I6"/>
    <mergeCell ref="A11:C11"/>
    <mergeCell ref="D11:F11"/>
    <mergeCell ref="G11:I11"/>
    <mergeCell ref="J11:L11"/>
    <mergeCell ref="U2:Z10"/>
    <mergeCell ref="J6:L6"/>
    <mergeCell ref="J7:L8"/>
    <mergeCell ref="A10:C10"/>
    <mergeCell ref="D10:F10"/>
    <mergeCell ref="G10:I10"/>
    <mergeCell ref="J10:L10"/>
    <mergeCell ref="A7:C8"/>
    <mergeCell ref="D7:F8"/>
    <mergeCell ref="G7:I8"/>
  </mergeCells>
  <dataValidations count="2">
    <dataValidation type="list" allowBlank="1" showInputMessage="1" showErrorMessage="1" sqref="B4" xr:uid="{2F1D2E20-B241-4F66-85F8-0E21F645EC81}">
      <formula1>"All,North,South,East,West,Central"</formula1>
    </dataValidation>
    <dataValidation type="list" allowBlank="1" showInputMessage="1" showErrorMessage="1" sqref="E4" xr:uid="{B0483D30-985D-42FA-8662-264150814108}">
      <formula1>"All,Active,Complete,At Risk,On Hold"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E2A7-6CF5-4FDF-BA13-C8C028B509CC}">
  <sheetPr>
    <tabColor rgb="FFEAC5FC"/>
  </sheetPr>
  <dimension ref="A1:DK53"/>
  <sheetViews>
    <sheetView workbookViewId="0">
      <selection activeCell="B5" sqref="B5:C5"/>
    </sheetView>
  </sheetViews>
  <sheetFormatPr defaultRowHeight="15"/>
  <cols>
    <col min="1" max="1" width="20" style="72" customWidth="1"/>
    <col min="2" max="3" width="16.140625" style="72" customWidth="1"/>
    <col min="4" max="4" width="9.7109375" style="72" customWidth="1"/>
    <col min="5" max="9" width="13.42578125" style="72" customWidth="1"/>
    <col min="10" max="11" width="11.7109375" style="72" customWidth="1"/>
    <col min="12" max="12" width="16" style="72" customWidth="1"/>
    <col min="13" max="13" width="14.7109375" style="72" customWidth="1"/>
    <col min="14" max="16" width="12.140625" style="72" customWidth="1"/>
    <col min="17" max="17" width="13" style="72" customWidth="1"/>
    <col min="18" max="18" width="9.140625" style="72"/>
    <col min="19" max="20" width="12.85546875" style="72" customWidth="1"/>
    <col min="21" max="21" width="13.42578125" style="72" customWidth="1"/>
    <col min="22" max="22" width="16.85546875" style="72" customWidth="1"/>
    <col min="23" max="16384" width="9.140625" style="72"/>
  </cols>
  <sheetData>
    <row r="1" spans="1:115" customFormat="1" ht="23.25">
      <c r="A1" s="167" t="s">
        <v>87</v>
      </c>
      <c r="B1" s="167"/>
      <c r="C1" s="167"/>
      <c r="D1" s="167"/>
      <c r="E1" s="167"/>
      <c r="F1" s="167"/>
      <c r="G1" s="167"/>
      <c r="H1" s="167"/>
      <c r="I1" s="72"/>
      <c r="J1" s="72"/>
      <c r="K1" s="72"/>
      <c r="L1" s="72"/>
      <c r="M1" s="72"/>
      <c r="N1" s="171" t="s">
        <v>88</v>
      </c>
      <c r="O1" s="171"/>
      <c r="P1" s="171"/>
      <c r="Q1" s="171"/>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row>
    <row r="2" spans="1:115" customFormat="1">
      <c r="A2" s="213" t="s">
        <v>89</v>
      </c>
      <c r="B2" s="213"/>
      <c r="C2" s="213"/>
      <c r="D2" s="213"/>
      <c r="E2" s="213"/>
      <c r="F2" s="213"/>
      <c r="G2" s="213"/>
      <c r="H2" s="213"/>
      <c r="I2" s="72"/>
      <c r="J2" s="72"/>
      <c r="K2" s="72"/>
      <c r="L2" s="72"/>
      <c r="M2" s="72"/>
      <c r="N2" s="16" t="s">
        <v>60</v>
      </c>
      <c r="O2" s="16" t="s">
        <v>61</v>
      </c>
      <c r="P2" s="16" t="s">
        <v>62</v>
      </c>
      <c r="Q2" s="16" t="s">
        <v>41</v>
      </c>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row>
    <row r="3" spans="1:115" customFormat="1">
      <c r="A3" s="72"/>
      <c r="B3" s="72"/>
      <c r="C3" s="72"/>
      <c r="D3" s="72"/>
      <c r="E3" s="72"/>
      <c r="F3" s="72"/>
      <c r="G3" s="72"/>
      <c r="H3" s="72"/>
      <c r="I3" s="72"/>
      <c r="J3" s="72"/>
      <c r="K3" s="72"/>
      <c r="L3" s="72"/>
      <c r="M3" s="72"/>
      <c r="N3" s="47" t="s">
        <v>63</v>
      </c>
      <c r="O3" s="73">
        <f>SUMIF(tblProjects[Month],N3,tblProjects[Budget])</f>
        <v>887840</v>
      </c>
      <c r="P3" s="73">
        <f>SUMIF(tblProjects[Month],N3,tblProjects[Actual Cost])</f>
        <v>879911</v>
      </c>
      <c r="Q3" s="73">
        <f>SUMIF(tblProjects[Month],N3,tblProjects[Business Value])</f>
        <v>1201038</v>
      </c>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row>
    <row r="4" spans="1:115" customFormat="1">
      <c r="A4" s="214" t="s">
        <v>90</v>
      </c>
      <c r="B4" s="215"/>
      <c r="C4" s="216"/>
      <c r="D4" s="72"/>
      <c r="E4" s="28" t="s">
        <v>91</v>
      </c>
      <c r="F4" s="28"/>
      <c r="G4" s="28"/>
      <c r="H4" s="28"/>
      <c r="I4" s="28"/>
      <c r="J4" s="28"/>
      <c r="K4" s="28"/>
      <c r="L4" s="28"/>
      <c r="M4" s="72"/>
      <c r="N4" s="47" t="s">
        <v>64</v>
      </c>
      <c r="O4" s="73">
        <f>SUMIF(tblProjects[Month],N4,tblProjects[Budget])</f>
        <v>974625</v>
      </c>
      <c r="P4" s="73">
        <f>SUMIF(tblProjects[Month],N4,tblProjects[Actual Cost])</f>
        <v>951911</v>
      </c>
      <c r="Q4" s="73">
        <f>SUMIF(tblProjects[Month],N4,tblProjects[Business Value])</f>
        <v>1417398</v>
      </c>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row>
    <row r="5" spans="1:115" customFormat="1">
      <c r="A5" s="81" t="s">
        <v>92</v>
      </c>
      <c r="B5" s="217" t="s">
        <v>93</v>
      </c>
      <c r="C5" s="218"/>
      <c r="D5" s="72"/>
      <c r="E5" s="149" t="s">
        <v>92</v>
      </c>
      <c r="F5" s="149" t="s">
        <v>39</v>
      </c>
      <c r="G5" s="149" t="s">
        <v>61</v>
      </c>
      <c r="H5" s="149" t="s">
        <v>62</v>
      </c>
      <c r="I5" s="149" t="s">
        <v>41</v>
      </c>
      <c r="J5" s="149" t="s">
        <v>94</v>
      </c>
      <c r="K5" s="149" t="s">
        <v>95</v>
      </c>
      <c r="L5" s="149" t="s">
        <v>96</v>
      </c>
      <c r="M5" s="72"/>
      <c r="N5" s="47" t="s">
        <v>65</v>
      </c>
      <c r="O5" s="73">
        <f>SUMIF(tblProjects[Month],N5,tblProjects[Budget])</f>
        <v>1061410</v>
      </c>
      <c r="P5" s="73">
        <f>SUMIF(tblProjects[Month],N5,tblProjects[Actual Cost])</f>
        <v>1076708</v>
      </c>
      <c r="Q5" s="73">
        <f>SUMIF(tblProjects[Month],N5,tblProjects[Business Value])</f>
        <v>1546066</v>
      </c>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row>
    <row r="6" spans="1:115" customFormat="1">
      <c r="A6" s="72"/>
      <c r="B6" s="72"/>
      <c r="C6" s="72"/>
      <c r="D6" s="72"/>
      <c r="E6" s="17" t="s">
        <v>93</v>
      </c>
      <c r="F6" s="80">
        <f>COUNTIF(tblProjects[Department],E6)</f>
        <v>24</v>
      </c>
      <c r="G6" s="77">
        <f>SUMIF(tblProjects[Department],E6,tblProjects[Budget])</f>
        <v>4038439</v>
      </c>
      <c r="H6" s="77">
        <f>SUMIF(tblProjects[Department],E6,tblProjects[Actual Cost])</f>
        <v>4106611</v>
      </c>
      <c r="I6" s="77">
        <f>SUMIF(tblProjects[Department],E6,tblProjects[Business Value])</f>
        <v>5816253</v>
      </c>
      <c r="J6" s="78">
        <f>H6-G6</f>
        <v>68172</v>
      </c>
      <c r="K6" s="79">
        <f>IFERROR(I6/H6,0)</f>
        <v>1.4163145717965495</v>
      </c>
      <c r="L6" s="75">
        <f>AVERAGEIF(tblProjects[Department],E6,tblProjects[Completion %])</f>
        <v>0.62791666666666668</v>
      </c>
      <c r="M6" s="72"/>
      <c r="N6" s="47" t="s">
        <v>66</v>
      </c>
      <c r="O6" s="73">
        <f>SUMIF(tblProjects[Month],N6,tblProjects[Budget])</f>
        <v>903195</v>
      </c>
      <c r="P6" s="73">
        <f>SUMIF(tblProjects[Month],N6,tblProjects[Actual Cost])</f>
        <v>932623</v>
      </c>
      <c r="Q6" s="73">
        <f>SUMIF(tblProjects[Month],N6,tblProjects[Business Value])</f>
        <v>1364974</v>
      </c>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72"/>
      <c r="CZ6" s="72"/>
      <c r="DA6" s="72"/>
      <c r="DB6" s="72"/>
      <c r="DC6" s="72"/>
      <c r="DD6" s="72"/>
      <c r="DE6" s="72"/>
      <c r="DF6" s="72"/>
      <c r="DG6" s="72"/>
      <c r="DH6" s="72"/>
      <c r="DI6" s="72"/>
      <c r="DJ6" s="72"/>
      <c r="DK6" s="72"/>
    </row>
    <row r="7" spans="1:115" customFormat="1">
      <c r="A7" s="214" t="s">
        <v>97</v>
      </c>
      <c r="B7" s="215"/>
      <c r="C7" s="216"/>
      <c r="D7" s="72"/>
      <c r="E7" s="17" t="s">
        <v>98</v>
      </c>
      <c r="F7" s="80">
        <f>COUNTIF(tblProjects[Department],E7)</f>
        <v>24</v>
      </c>
      <c r="G7" s="77">
        <f>SUMIF(tblProjects[Department],E7,tblProjects[Budget])</f>
        <v>4318153</v>
      </c>
      <c r="H7" s="77">
        <f>SUMIF(tblProjects[Department],E7,tblProjects[Actual Cost])</f>
        <v>4245645</v>
      </c>
      <c r="I7" s="77">
        <f>SUMIF(tblProjects[Department],E7,tblProjects[Business Value])</f>
        <v>5959188</v>
      </c>
      <c r="J7" s="78">
        <f>H7-G7</f>
        <v>-72508</v>
      </c>
      <c r="K7" s="79">
        <f>IFERROR(I7/H7,0)</f>
        <v>1.4036001596930501</v>
      </c>
      <c r="L7" s="75">
        <f>AVERAGEIF(tblProjects[Department],E7,tblProjects[Completion %])</f>
        <v>0.54375000000000007</v>
      </c>
      <c r="M7" s="72"/>
      <c r="N7" s="47" t="s">
        <v>67</v>
      </c>
      <c r="O7" s="73">
        <f>SUMIF(tblProjects[Month],N7,tblProjects[Budget])</f>
        <v>989980</v>
      </c>
      <c r="P7" s="73">
        <f>SUMIF(tblProjects[Month],N7,tblProjects[Actual Cost])</f>
        <v>969822</v>
      </c>
      <c r="Q7" s="73">
        <f>SUMIF(tblProjects[Month],N7,tblProjects[Business Value])</f>
        <v>1401380</v>
      </c>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row>
    <row r="8" spans="1:115" customFormat="1">
      <c r="A8" s="13" t="s">
        <v>61</v>
      </c>
      <c r="B8" s="219">
        <f>SUM(O30:O53)</f>
        <v>4038439</v>
      </c>
      <c r="C8" s="220"/>
      <c r="D8" s="72"/>
      <c r="E8" s="17" t="s">
        <v>99</v>
      </c>
      <c r="F8" s="80">
        <f>COUNTIF(tblProjects[Department],E8)</f>
        <v>24</v>
      </c>
      <c r="G8" s="77">
        <f>SUMIF(tblProjects[Department],E8,tblProjects[Budget])</f>
        <v>4021082</v>
      </c>
      <c r="H8" s="77">
        <f>SUMIF(tblProjects[Department],E8,tblProjects[Actual Cost])</f>
        <v>4042711</v>
      </c>
      <c r="I8" s="77">
        <f>SUMIF(tblProjects[Department],E8,tblProjects[Business Value])</f>
        <v>5716171</v>
      </c>
      <c r="J8" s="78">
        <f>H8-G8</f>
        <v>21629</v>
      </c>
      <c r="K8" s="79">
        <f>IFERROR(I8/H8,0)</f>
        <v>1.4139449987891788</v>
      </c>
      <c r="L8" s="75">
        <f>AVERAGEIF(tblProjects[Department],E8,tblProjects[Completion %])</f>
        <v>0.54249999999999998</v>
      </c>
      <c r="M8" s="72"/>
      <c r="N8" s="47" t="s">
        <v>68</v>
      </c>
      <c r="O8" s="73">
        <f>SUMIF(tblProjects[Month],N8,tblProjects[Budget])</f>
        <v>831765</v>
      </c>
      <c r="P8" s="73">
        <f>SUMIF(tblProjects[Month],N8,tblProjects[Actual Cost])</f>
        <v>861034</v>
      </c>
      <c r="Q8" s="73">
        <f>SUMIF(tblProjects[Month],N8,tblProjects[Business Value])</f>
        <v>1167726</v>
      </c>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row>
    <row r="9" spans="1:115" customFormat="1">
      <c r="A9" s="14" t="s">
        <v>62</v>
      </c>
      <c r="B9" s="219">
        <f>SUM(P30:P53)</f>
        <v>4106611</v>
      </c>
      <c r="C9" s="220"/>
      <c r="D9" s="72"/>
      <c r="E9" s="17" t="s">
        <v>100</v>
      </c>
      <c r="F9" s="80">
        <f>COUNTIF(tblProjects[Department],E9)</f>
        <v>24</v>
      </c>
      <c r="G9" s="77">
        <f>SUMIF(tblProjects[Department],E9,tblProjects[Budget])</f>
        <v>4055796</v>
      </c>
      <c r="H9" s="77">
        <f>SUMIF(tblProjects[Department],E9,tblProjects[Actual Cost])</f>
        <v>4063413</v>
      </c>
      <c r="I9" s="77">
        <f>SUMIF(tblProjects[Department],E9,tblProjects[Business Value])</f>
        <v>5797941</v>
      </c>
      <c r="J9" s="78">
        <f>H9-G9</f>
        <v>7617</v>
      </c>
      <c r="K9" s="79">
        <f>IFERROR(I9/H9,0)</f>
        <v>1.4268648055218605</v>
      </c>
      <c r="L9" s="75">
        <f>AVERAGEIF(tblProjects[Department],E9,tblProjects[Completion %])</f>
        <v>0.66125</v>
      </c>
      <c r="M9" s="72"/>
      <c r="N9" s="47" t="s">
        <v>69</v>
      </c>
      <c r="O9" s="73">
        <f>SUMIF(tblProjects[Month],N9,tblProjects[Budget])</f>
        <v>918550</v>
      </c>
      <c r="P9" s="73">
        <f>SUMIF(tblProjects[Month],N9,tblProjects[Actual Cost])</f>
        <v>966347</v>
      </c>
      <c r="Q9" s="73">
        <f>SUMIF(tblProjects[Month],N9,tblProjects[Business Value])</f>
        <v>1360211</v>
      </c>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row>
    <row r="10" spans="1:115" customFormat="1">
      <c r="A10" s="14" t="s">
        <v>41</v>
      </c>
      <c r="B10" s="219">
        <f>SUM(Q30:Q53)</f>
        <v>5816253</v>
      </c>
      <c r="C10" s="220"/>
      <c r="D10" s="72"/>
      <c r="E10" s="17" t="s">
        <v>101</v>
      </c>
      <c r="F10" s="80">
        <f>COUNTIF(tblProjects[Department],E10)</f>
        <v>24</v>
      </c>
      <c r="G10" s="77">
        <f>SUMIF(tblProjects[Department],E10,tblProjects[Budget])</f>
        <v>4335510</v>
      </c>
      <c r="H10" s="77">
        <f>SUMIF(tblProjects[Department],E10,tblProjects[Actual Cost])</f>
        <v>4318395</v>
      </c>
      <c r="I10" s="77">
        <f>SUMIF(tblProjects[Department],E10,tblProjects[Business Value])</f>
        <v>6051292</v>
      </c>
      <c r="J10" s="78">
        <f>H10-G10</f>
        <v>-17115</v>
      </c>
      <c r="K10" s="79">
        <f>IFERROR(I10/H10,0)</f>
        <v>1.4012826524669466</v>
      </c>
      <c r="L10" s="75">
        <f>AVERAGEIF(tblProjects[Department],E10,tblProjects[Completion %])</f>
        <v>0.65125</v>
      </c>
      <c r="M10" s="72"/>
      <c r="N10" s="47" t="s">
        <v>70</v>
      </c>
      <c r="O10" s="73">
        <f>SUMIF(tblProjects[Month],N10,tblProjects[Budget])</f>
        <v>760335</v>
      </c>
      <c r="P10" s="73">
        <f>SUMIF(tblProjects[Month],N10,tblProjects[Actual Cost])</f>
        <v>758048</v>
      </c>
      <c r="Q10" s="73">
        <f>SUMIF(tblProjects[Month],N10,tblProjects[Business Value])</f>
        <v>1074784</v>
      </c>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row>
    <row r="11" spans="1:115" customFormat="1">
      <c r="A11" s="14" t="s">
        <v>94</v>
      </c>
      <c r="B11" s="219">
        <f>B9-B8</f>
        <v>68172</v>
      </c>
      <c r="C11" s="220"/>
      <c r="D11" s="72"/>
      <c r="E11" s="17"/>
      <c r="F11" s="80"/>
      <c r="G11" s="19"/>
      <c r="H11" s="19"/>
      <c r="I11" s="19"/>
      <c r="J11" s="20"/>
      <c r="K11" s="18"/>
      <c r="L11" s="76"/>
      <c r="M11" s="72"/>
      <c r="N11" s="47" t="s">
        <v>71</v>
      </c>
      <c r="O11" s="73">
        <f>SUMIF(tblProjects[Month],N11,tblProjects[Budget])</f>
        <v>847120</v>
      </c>
      <c r="P11" s="73">
        <f>SUMIF(tblProjects[Month],N11,tblProjects[Actual Cost])</f>
        <v>852433</v>
      </c>
      <c r="Q11" s="73">
        <f>SUMIF(tblProjects[Month],N11,tblProjects[Business Value])</f>
        <v>1275059</v>
      </c>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row>
    <row r="12" spans="1:115" customFormat="1">
      <c r="A12" s="15" t="s">
        <v>96</v>
      </c>
      <c r="B12" s="211">
        <f>AVERAGEIFS(tblProjects[Completion %],tblProjects[Department],IF($B$5="All","&lt;&gt;",$B$5))</f>
        <v>0.62791666666666668</v>
      </c>
      <c r="C12" s="212"/>
      <c r="D12" s="72"/>
      <c r="E12" s="17"/>
      <c r="F12" s="80"/>
      <c r="G12" s="19"/>
      <c r="H12" s="19"/>
      <c r="I12" s="19"/>
      <c r="J12" s="20"/>
      <c r="K12" s="18"/>
      <c r="L12" s="76"/>
      <c r="M12" s="72"/>
      <c r="N12" s="47" t="s">
        <v>72</v>
      </c>
      <c r="O12" s="73">
        <f>SUMIF(tblProjects[Month],N12,tblProjects[Budget])</f>
        <v>688905</v>
      </c>
      <c r="P12" s="73">
        <f>SUMIF(tblProjects[Month],N12,tblProjects[Actual Cost])</f>
        <v>663279</v>
      </c>
      <c r="Q12" s="73">
        <f>SUMIF(tblProjects[Month],N12,tblProjects[Business Value])</f>
        <v>910847</v>
      </c>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row>
    <row r="13" spans="1:115" customFormat="1">
      <c r="A13" s="72"/>
      <c r="B13" s="72"/>
      <c r="C13" s="72"/>
      <c r="D13" s="72"/>
      <c r="E13" s="72"/>
      <c r="F13" s="72"/>
      <c r="G13" s="72"/>
      <c r="H13" s="72"/>
      <c r="I13" s="72"/>
      <c r="J13" s="72"/>
      <c r="K13" s="72"/>
      <c r="L13" s="72"/>
      <c r="M13" s="72"/>
      <c r="N13" s="47" t="s">
        <v>73</v>
      </c>
      <c r="O13" s="73">
        <f>SUMIF(tblProjects[Month],N13,tblProjects[Budget])</f>
        <v>775690</v>
      </c>
      <c r="P13" s="73">
        <f>SUMIF(tblProjects[Month],N13,tblProjects[Actual Cost])</f>
        <v>804137</v>
      </c>
      <c r="Q13" s="73">
        <f>SUMIF(tblProjects[Month],N13,tblProjects[Business Value])</f>
        <v>1092434</v>
      </c>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row>
    <row r="14" spans="1:115" customFormat="1">
      <c r="A14" s="72"/>
      <c r="B14" s="72"/>
      <c r="C14" s="72"/>
      <c r="D14" s="72"/>
      <c r="E14" s="72"/>
      <c r="F14" s="72"/>
      <c r="G14" s="72"/>
      <c r="H14" s="72"/>
      <c r="I14" s="72"/>
      <c r="J14" s="72"/>
      <c r="K14" s="72"/>
      <c r="L14" s="72"/>
      <c r="M14" s="72"/>
      <c r="N14" s="47" t="s">
        <v>74</v>
      </c>
      <c r="O14" s="73">
        <f>SUMIF(tblProjects[Month],N14,tblProjects[Budget])</f>
        <v>862475</v>
      </c>
      <c r="P14" s="73">
        <f>SUMIF(tblProjects[Month],N14,tblProjects[Actual Cost])</f>
        <v>863722</v>
      </c>
      <c r="Q14" s="73">
        <f>SUMIF(tblProjects[Month],N14,tblProjects[Business Value])</f>
        <v>1191739</v>
      </c>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row>
    <row r="15" spans="1:115" customFormat="1">
      <c r="A15" s="72"/>
      <c r="B15" s="72"/>
      <c r="C15" s="72"/>
      <c r="D15" s="72"/>
      <c r="E15" s="72"/>
      <c r="F15" s="72"/>
      <c r="G15" s="72"/>
      <c r="H15" s="72"/>
      <c r="I15" s="72"/>
      <c r="J15" s="72"/>
      <c r="K15" s="72"/>
      <c r="L15" s="72"/>
      <c r="M15" s="72"/>
      <c r="N15" s="47" t="s">
        <v>75</v>
      </c>
      <c r="O15" s="73">
        <f>SUMIF(tblProjects[Month],N15,tblProjects[Budget])</f>
        <v>949940</v>
      </c>
      <c r="P15" s="73">
        <f>SUMIF(tblProjects[Month],N15,tblProjects[Actual Cost])</f>
        <v>988867</v>
      </c>
      <c r="Q15" s="73">
        <f>SUMIF(tblProjects[Month],N15,tblProjects[Business Value])</f>
        <v>1345553</v>
      </c>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row>
    <row r="16" spans="1:115" customFormat="1">
      <c r="A16" s="72"/>
      <c r="B16" s="72"/>
      <c r="C16" s="72"/>
      <c r="D16" s="72"/>
      <c r="E16" s="72"/>
      <c r="F16" s="72"/>
      <c r="G16" s="72"/>
      <c r="H16" s="72"/>
      <c r="I16" s="72"/>
      <c r="J16" s="72"/>
      <c r="K16" s="72"/>
      <c r="L16" s="72"/>
      <c r="M16" s="72"/>
      <c r="N16" s="47" t="s">
        <v>76</v>
      </c>
      <c r="O16" s="73">
        <f>SUMIF(tblProjects[Month],N16,tblProjects[Budget])</f>
        <v>791725</v>
      </c>
      <c r="P16" s="73">
        <f>SUMIF(tblProjects[Month],N16,tblProjects[Actual Cost])</f>
        <v>746793</v>
      </c>
      <c r="Q16" s="73">
        <f>SUMIF(tblProjects[Month],N16,tblProjects[Business Value])</f>
        <v>1121151</v>
      </c>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row>
    <row r="17" spans="1:115" customFormat="1">
      <c r="A17" s="72"/>
      <c r="B17" s="72"/>
      <c r="C17" s="72"/>
      <c r="D17" s="72"/>
      <c r="E17" s="72"/>
      <c r="F17" s="72"/>
      <c r="G17" s="72"/>
      <c r="H17" s="72"/>
      <c r="I17" s="72"/>
      <c r="J17" s="72"/>
      <c r="K17" s="72"/>
      <c r="L17" s="72"/>
      <c r="M17" s="72"/>
      <c r="N17" s="47" t="s">
        <v>77</v>
      </c>
      <c r="O17" s="73">
        <f>SUMIF(tblProjects[Month],N17,tblProjects[Budget])</f>
        <v>878510</v>
      </c>
      <c r="P17" s="73">
        <f>SUMIF(tblProjects[Month],N17,tblProjects[Actual Cost])</f>
        <v>876006</v>
      </c>
      <c r="Q17" s="73">
        <f>SUMIF(tblProjects[Month],N17,tblProjects[Business Value])</f>
        <v>1205480</v>
      </c>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row>
    <row r="18" spans="1:115" customFormat="1">
      <c r="A18" s="72"/>
      <c r="B18" s="72"/>
      <c r="C18" s="72"/>
      <c r="D18" s="72"/>
      <c r="E18" s="72"/>
      <c r="F18" s="72"/>
      <c r="G18" s="72"/>
      <c r="H18" s="72"/>
      <c r="I18" s="72"/>
      <c r="J18" s="72"/>
      <c r="K18" s="72"/>
      <c r="L18" s="72"/>
      <c r="M18" s="72"/>
      <c r="N18" s="47" t="s">
        <v>78</v>
      </c>
      <c r="O18" s="73">
        <f>SUMIF(tblProjects[Month],N18,tblProjects[Budget])</f>
        <v>720295</v>
      </c>
      <c r="P18" s="73">
        <f>SUMIF(tblProjects[Month],N18,tblProjects[Actual Cost])</f>
        <v>653079</v>
      </c>
      <c r="Q18" s="73">
        <f>SUMIF(tblProjects[Month],N18,tblProjects[Business Value])</f>
        <v>924027</v>
      </c>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row>
    <row r="19" spans="1:115" customFormat="1">
      <c r="A19" s="72"/>
      <c r="B19" s="72"/>
      <c r="C19" s="72"/>
      <c r="D19" s="72"/>
      <c r="E19" s="72"/>
      <c r="F19" s="72"/>
      <c r="G19" s="72"/>
      <c r="H19" s="72"/>
      <c r="I19" s="72"/>
      <c r="J19" s="72"/>
      <c r="K19" s="72"/>
      <c r="L19" s="72"/>
      <c r="M19" s="72"/>
      <c r="N19" s="47" t="s">
        <v>79</v>
      </c>
      <c r="O19" s="73">
        <f>SUMIF(tblProjects[Month],N19,tblProjects[Budget])</f>
        <v>807080</v>
      </c>
      <c r="P19" s="73">
        <f>SUMIF(tblProjects[Month],N19,tblProjects[Actual Cost])</f>
        <v>812958</v>
      </c>
      <c r="Q19" s="73">
        <f>SUMIF(tblProjects[Month],N19,tblProjects[Business Value])</f>
        <v>1176717</v>
      </c>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row>
    <row r="20" spans="1:115" customFormat="1">
      <c r="A20" s="72"/>
      <c r="B20" s="72"/>
      <c r="C20" s="72"/>
      <c r="D20" s="72"/>
      <c r="E20" s="72"/>
      <c r="F20" s="72"/>
      <c r="G20" s="72"/>
      <c r="H20" s="72"/>
      <c r="I20" s="72"/>
      <c r="J20" s="72"/>
      <c r="K20" s="72"/>
      <c r="L20" s="72"/>
      <c r="M20" s="72"/>
      <c r="N20" s="47" t="s">
        <v>80</v>
      </c>
      <c r="O20" s="73">
        <f>SUMIF(tblProjects[Month],N20,tblProjects[Budget])</f>
        <v>648865</v>
      </c>
      <c r="P20" s="73">
        <f>SUMIF(tblProjects[Month],N20,tblProjects[Actual Cost])</f>
        <v>642769</v>
      </c>
      <c r="Q20" s="73">
        <f>SUMIF(tblProjects[Month],N20,tblProjects[Business Value])</f>
        <v>955921</v>
      </c>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row>
    <row r="21" spans="1:115" customFormat="1">
      <c r="A21" s="72"/>
      <c r="B21" s="72"/>
      <c r="C21" s="72"/>
      <c r="D21" s="72"/>
      <c r="E21" s="72"/>
      <c r="F21" s="72"/>
      <c r="G21" s="72"/>
      <c r="H21" s="72"/>
      <c r="I21" s="72"/>
      <c r="J21" s="72"/>
      <c r="K21" s="72"/>
      <c r="L21" s="72"/>
      <c r="M21" s="72"/>
      <c r="N21" s="47" t="s">
        <v>81</v>
      </c>
      <c r="O21" s="73">
        <f>SUMIF(tblProjects[Month],N21,tblProjects[Budget])</f>
        <v>735650</v>
      </c>
      <c r="P21" s="73">
        <f>SUMIF(tblProjects[Month],N21,tblProjects[Actual Cost])</f>
        <v>715792</v>
      </c>
      <c r="Q21" s="73">
        <f>SUMIF(tblProjects[Month],N21,tblProjects[Business Value])</f>
        <v>1003830</v>
      </c>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row>
    <row r="22" spans="1:115" customFormat="1">
      <c r="A22" s="72"/>
      <c r="B22" s="72"/>
      <c r="C22" s="72"/>
      <c r="D22" s="72"/>
      <c r="E22" s="72"/>
      <c r="F22" s="72"/>
      <c r="G22" s="72"/>
      <c r="H22" s="72"/>
      <c r="I22" s="72"/>
      <c r="J22" s="72"/>
      <c r="K22" s="72"/>
      <c r="L22" s="72"/>
      <c r="M22" s="72"/>
      <c r="N22" s="47" t="s">
        <v>82</v>
      </c>
      <c r="O22" s="73">
        <f>SUMIF(tblProjects[Month],N22,tblProjects[Budget])</f>
        <v>822435</v>
      </c>
      <c r="P22" s="73">
        <f>SUMIF(tblProjects[Month],N22,tblProjects[Actual Cost])</f>
        <v>860134</v>
      </c>
      <c r="Q22" s="73">
        <f>SUMIF(tblProjects[Month],N22,tblProjects[Business Value])</f>
        <v>1194851</v>
      </c>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row>
    <row r="23" spans="1:115" customFormat="1">
      <c r="A23" s="72"/>
      <c r="B23" s="72"/>
      <c r="C23" s="72"/>
      <c r="D23" s="72"/>
      <c r="E23" s="72"/>
      <c r="F23" s="72"/>
      <c r="G23" s="72"/>
      <c r="H23" s="72"/>
      <c r="I23" s="72"/>
      <c r="J23" s="72"/>
      <c r="K23" s="72"/>
      <c r="L23" s="72"/>
      <c r="M23" s="72"/>
      <c r="N23" s="47" t="s">
        <v>83</v>
      </c>
      <c r="O23" s="73">
        <f>SUMIF(tblProjects[Month],N23,tblProjects[Budget])</f>
        <v>909220</v>
      </c>
      <c r="P23" s="73">
        <f>SUMIF(tblProjects[Month],N23,tblProjects[Actual Cost])</f>
        <v>919746</v>
      </c>
      <c r="Q23" s="73">
        <f>SUMIF(tblProjects[Month],N23,tblProjects[Business Value])</f>
        <v>1297013</v>
      </c>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row>
    <row r="24" spans="1:115" customFormat="1">
      <c r="A24" s="72"/>
      <c r="B24" s="72"/>
      <c r="C24" s="72"/>
      <c r="D24" s="72"/>
      <c r="E24" s="72"/>
      <c r="F24" s="72"/>
      <c r="G24" s="72"/>
      <c r="H24" s="72"/>
      <c r="I24" s="72"/>
      <c r="J24" s="72"/>
      <c r="K24" s="72"/>
      <c r="L24" s="72"/>
      <c r="M24" s="72"/>
      <c r="N24" s="47" t="s">
        <v>84</v>
      </c>
      <c r="O24" s="73">
        <f>SUMIF(tblProjects[Month],N24,tblProjects[Budget])</f>
        <v>996005</v>
      </c>
      <c r="P24" s="73">
        <f>SUMIF(tblProjects[Month],N24,tblProjects[Actual Cost])</f>
        <v>989818</v>
      </c>
      <c r="Q24" s="73">
        <f>SUMIF(tblProjects[Month],N24,tblProjects[Business Value])</f>
        <v>1407564</v>
      </c>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row>
    <row r="25" spans="1:115" customFormat="1">
      <c r="A25" s="72"/>
      <c r="B25" s="72"/>
      <c r="C25" s="72"/>
      <c r="D25" s="72"/>
      <c r="E25" s="72"/>
      <c r="F25" s="72"/>
      <c r="G25" s="72"/>
      <c r="H25" s="72"/>
      <c r="I25" s="72"/>
      <c r="J25" s="72"/>
      <c r="K25" s="72"/>
      <c r="L25" s="72"/>
      <c r="M25" s="72"/>
      <c r="N25" s="47" t="s">
        <v>85</v>
      </c>
      <c r="O25" s="73">
        <f>SUMIF(tblProjects[Month],N25,tblProjects[Budget])</f>
        <v>1082790</v>
      </c>
      <c r="P25" s="73">
        <f>SUMIF(tblProjects[Month],N25,tblProjects[Actual Cost])</f>
        <v>1070351</v>
      </c>
      <c r="Q25" s="73">
        <f>SUMIF(tblProjects[Month],N25,tblProjects[Business Value])</f>
        <v>1449319</v>
      </c>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row>
    <row r="26" spans="1:115" customFormat="1">
      <c r="A26" s="72"/>
      <c r="B26" s="72"/>
      <c r="C26" s="72"/>
      <c r="D26" s="72"/>
      <c r="E26" s="72"/>
      <c r="F26" s="72"/>
      <c r="G26" s="72"/>
      <c r="H26" s="72"/>
      <c r="I26" s="72"/>
      <c r="J26" s="72"/>
      <c r="K26" s="72"/>
      <c r="L26" s="72"/>
      <c r="M26" s="72"/>
      <c r="N26" s="47" t="s">
        <v>86</v>
      </c>
      <c r="O26" s="73">
        <f>SUMIF(tblProjects[Month],N26,tblProjects[Budget])</f>
        <v>924575</v>
      </c>
      <c r="P26" s="73">
        <f>SUMIF(tblProjects[Month],N26,tblProjects[Actual Cost])</f>
        <v>920487</v>
      </c>
      <c r="Q26" s="73">
        <f>SUMIF(tblProjects[Month],N26,tblProjects[Business Value])</f>
        <v>1255763</v>
      </c>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row>
    <row r="27" spans="1:115" customFormat="1">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row>
    <row r="28" spans="1:115" customFormat="1">
      <c r="A28" s="72"/>
      <c r="B28" s="72"/>
      <c r="C28" s="72"/>
      <c r="D28" s="72"/>
      <c r="E28" s="72"/>
      <c r="F28" s="72"/>
      <c r="G28" s="72"/>
      <c r="H28" s="72"/>
      <c r="I28" s="72"/>
      <c r="J28" s="72"/>
      <c r="K28" s="72"/>
      <c r="L28" s="72"/>
      <c r="M28" s="72"/>
      <c r="N28" s="171" t="s">
        <v>88</v>
      </c>
      <c r="O28" s="171"/>
      <c r="P28" s="171"/>
      <c r="Q28" s="171"/>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row>
    <row r="29" spans="1:115" customFormat="1">
      <c r="A29" s="72"/>
      <c r="B29" s="72"/>
      <c r="C29" s="72"/>
      <c r="D29" s="72"/>
      <c r="E29" s="72"/>
      <c r="F29" s="72"/>
      <c r="G29" s="72"/>
      <c r="H29" s="72"/>
      <c r="I29" s="72"/>
      <c r="J29" s="72"/>
      <c r="K29" s="72"/>
      <c r="L29" s="72"/>
      <c r="M29" s="72"/>
      <c r="N29" s="86" t="s">
        <v>60</v>
      </c>
      <c r="O29" s="87" t="s">
        <v>61</v>
      </c>
      <c r="P29" s="87" t="s">
        <v>62</v>
      </c>
      <c r="Q29" s="88" t="s">
        <v>41</v>
      </c>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row>
    <row r="30" spans="1:115" customFormat="1" ht="11.25" customHeight="1">
      <c r="A30" s="72"/>
      <c r="B30" s="72"/>
      <c r="C30" s="72"/>
      <c r="D30" s="72"/>
      <c r="E30" s="72"/>
      <c r="F30" s="72"/>
      <c r="G30" s="72"/>
      <c r="H30" s="72"/>
      <c r="I30" s="72"/>
      <c r="J30" s="72"/>
      <c r="K30" s="72"/>
      <c r="L30" s="72"/>
      <c r="M30" s="72"/>
      <c r="N30" s="82" t="str">
        <f>N3</f>
        <v>2025-01</v>
      </c>
      <c r="O30" s="83">
        <f>SUMIFS(tblProjects[Budget],tblProjects[Month],N30,tblProjects[Department],IF($B$5="All","&lt;&gt;",$B$5))</f>
        <v>208136</v>
      </c>
      <c r="P30" s="83">
        <f>SUMIFS(tblProjects[Actual Cost],tblProjects[Month],N30,tblProjects[Department],IF($B$5="All","&lt;&gt;",$B$5))</f>
        <v>219675</v>
      </c>
      <c r="Q30" s="83">
        <f>SUMIFS(tblProjects[Business Value],tblProjects[Month],N30,tblProjects[Department],IF($B$5="All","&lt;&gt;",$B$5))</f>
        <v>259217</v>
      </c>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row>
    <row r="31" spans="1:115" customFormat="1" ht="11.25" customHeight="1">
      <c r="A31" s="72"/>
      <c r="B31" s="72"/>
      <c r="C31" s="72"/>
      <c r="D31" s="72"/>
      <c r="E31" s="72"/>
      <c r="F31" s="72"/>
      <c r="G31" s="72"/>
      <c r="H31" s="72"/>
      <c r="I31" s="72"/>
      <c r="J31" s="72"/>
      <c r="K31" s="72"/>
      <c r="L31" s="72"/>
      <c r="M31" s="72"/>
      <c r="N31" s="84" t="str">
        <f>N4</f>
        <v>2025-02</v>
      </c>
      <c r="O31" s="85">
        <f>SUMIFS(tblProjects[Budget],tblProjects[Month],N31,tblProjects[Department],IF($B$5="All","&lt;&gt;",$B$5))</f>
        <v>243925</v>
      </c>
      <c r="P31" s="85">
        <f>SUMIFS(tblProjects[Actual Cost],tblProjects[Month],N31,tblProjects[Department],IF($B$5="All","&lt;&gt;",$B$5))</f>
        <v>270757</v>
      </c>
      <c r="Q31" s="85">
        <f>SUMIFS(tblProjects[Business Value],tblProjects[Month],N31,tblProjects[Department],IF($B$5="All","&lt;&gt;",$B$5))</f>
        <v>414258</v>
      </c>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row>
    <row r="32" spans="1:115" customFormat="1" ht="11.25" customHeight="1">
      <c r="A32" s="72"/>
      <c r="B32" s="72"/>
      <c r="C32" s="72"/>
      <c r="D32" s="72"/>
      <c r="E32" s="72"/>
      <c r="F32" s="72"/>
      <c r="G32" s="72"/>
      <c r="H32" s="72"/>
      <c r="I32" s="72"/>
      <c r="J32" s="72"/>
      <c r="K32" s="72"/>
      <c r="L32" s="72"/>
      <c r="M32" s="72"/>
      <c r="N32" s="82" t="str">
        <f>N5</f>
        <v>2025-03</v>
      </c>
      <c r="O32" s="83">
        <f>SUMIFS(tblProjects[Budget],tblProjects[Month],N32,tblProjects[Department],IF($B$5="All","&lt;&gt;",$B$5))</f>
        <v>485848</v>
      </c>
      <c r="P32" s="83">
        <f>SUMIFS(tblProjects[Actual Cost],tblProjects[Month],N32,tblProjects[Department],IF($B$5="All","&lt;&gt;",$B$5))</f>
        <v>539164</v>
      </c>
      <c r="Q32" s="83">
        <f>SUMIFS(tblProjects[Business Value],tblProjects[Month],N32,tblProjects[Department],IF($B$5="All","&lt;&gt;",$B$5))</f>
        <v>713348</v>
      </c>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row>
    <row r="33" spans="1:103" customFormat="1" ht="11.25" customHeight="1">
      <c r="A33" s="72"/>
      <c r="B33" s="72"/>
      <c r="C33" s="72"/>
      <c r="D33" s="72"/>
      <c r="E33" s="72"/>
      <c r="F33" s="72"/>
      <c r="G33" s="72"/>
      <c r="H33" s="72"/>
      <c r="I33" s="72"/>
      <c r="J33" s="72"/>
      <c r="K33" s="72"/>
      <c r="L33" s="72"/>
      <c r="M33" s="72"/>
      <c r="N33" s="84" t="str">
        <f>N6</f>
        <v>2025-04</v>
      </c>
      <c r="O33" s="85">
        <f>SUMIFS(tblProjects[Budget],tblProjects[Month],N33,tblProjects[Department],IF($B$5="All","&lt;&gt;",$B$5))</f>
        <v>241923</v>
      </c>
      <c r="P33" s="85">
        <f>SUMIFS(tblProjects[Actual Cost],tblProjects[Month],N33,tblProjects[Department],IF($B$5="All","&lt;&gt;",$B$5))</f>
        <v>261277</v>
      </c>
      <c r="Q33" s="85">
        <f>SUMIFS(tblProjects[Business Value],tblProjects[Month],N33,tblProjects[Department],IF($B$5="All","&lt;&gt;",$B$5))</f>
        <v>425882</v>
      </c>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row>
    <row r="34" spans="1:103" customFormat="1" ht="11.25" customHeight="1">
      <c r="A34" s="72"/>
      <c r="B34" s="72"/>
      <c r="C34" s="72"/>
      <c r="D34" s="72"/>
      <c r="E34" s="72"/>
      <c r="F34" s="72"/>
      <c r="G34" s="72"/>
      <c r="H34" s="72"/>
      <c r="I34" s="72"/>
      <c r="J34" s="72"/>
      <c r="K34" s="72"/>
      <c r="L34" s="72"/>
      <c r="M34" s="72"/>
      <c r="N34" s="82" t="str">
        <f>N7</f>
        <v>2025-05</v>
      </c>
      <c r="O34" s="83">
        <f>SUMIFS(tblProjects[Budget],tblProjects[Month],N34,tblProjects[Department],IF($B$5="All","&lt;&gt;",$B$5))</f>
        <v>87712</v>
      </c>
      <c r="P34" s="83">
        <f>SUMIFS(tblProjects[Actual Cost],tblProjects[Month],N34,tblProjects[Department],IF($B$5="All","&lt;&gt;",$B$5))</f>
        <v>92098</v>
      </c>
      <c r="Q34" s="83">
        <f>SUMIFS(tblProjects[Business Value],tblProjects[Month],N34,tblProjects[Department],IF($B$5="All","&lt;&gt;",$B$5))</f>
        <v>138147</v>
      </c>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row>
    <row r="35" spans="1:103" customFormat="1" ht="11.25" customHeight="1">
      <c r="A35" s="72"/>
      <c r="B35" s="72"/>
      <c r="C35" s="72"/>
      <c r="D35" s="72"/>
      <c r="E35" s="72"/>
      <c r="F35" s="72"/>
      <c r="G35" s="72"/>
      <c r="H35" s="72"/>
      <c r="I35" s="72"/>
      <c r="J35" s="72"/>
      <c r="K35" s="72"/>
      <c r="L35" s="72"/>
      <c r="M35" s="72"/>
      <c r="N35" s="84" t="str">
        <f>N8</f>
        <v>2025-06</v>
      </c>
      <c r="O35" s="85">
        <f>SUMIFS(tblProjects[Budget],tblProjects[Month],N35,tblProjects[Department],IF($B$5="All","&lt;&gt;",$B$5))</f>
        <v>276637</v>
      </c>
      <c r="P35" s="85">
        <f>SUMIFS(tblProjects[Actual Cost],tblProjects[Month],N35,tblProjects[Department],IF($B$5="All","&lt;&gt;",$B$5))</f>
        <v>268338</v>
      </c>
      <c r="Q35" s="85">
        <f>SUMIFS(tblProjects[Business Value],tblProjects[Month],N35,tblProjects[Department],IF($B$5="All","&lt;&gt;",$B$5))</f>
        <v>367623</v>
      </c>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row>
    <row r="36" spans="1:103" customFormat="1" ht="11.25" customHeight="1">
      <c r="A36" s="72"/>
      <c r="B36" s="72"/>
      <c r="C36" s="72"/>
      <c r="D36" s="72"/>
      <c r="E36" s="72"/>
      <c r="F36" s="72"/>
      <c r="G36" s="72"/>
      <c r="H36" s="72"/>
      <c r="I36" s="72"/>
      <c r="J36" s="72"/>
      <c r="K36" s="72"/>
      <c r="L36" s="72"/>
      <c r="M36" s="72"/>
      <c r="N36" s="82" t="str">
        <f>N9</f>
        <v>2025-07</v>
      </c>
      <c r="O36" s="83">
        <f>SUMIFS(tblProjects[Budget],tblProjects[Month],N36,tblProjects[Department],IF($B$5="All","&lt;&gt;",$B$5))</f>
        <v>0</v>
      </c>
      <c r="P36" s="83">
        <f>SUMIFS(tblProjects[Actual Cost],tblProjects[Month],N36,tblProjects[Department],IF($B$5="All","&lt;&gt;",$B$5))</f>
        <v>0</v>
      </c>
      <c r="Q36" s="83">
        <f>SUMIFS(tblProjects[Business Value],tblProjects[Month],N36,tblProjects[Department],IF($B$5="All","&lt;&gt;",$B$5))</f>
        <v>0</v>
      </c>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row>
    <row r="37" spans="1:103" customFormat="1" ht="11.25" customHeight="1">
      <c r="A37" s="72"/>
      <c r="B37" s="72"/>
      <c r="C37" s="72"/>
      <c r="D37" s="72"/>
      <c r="E37" s="72"/>
      <c r="F37" s="72"/>
      <c r="G37" s="72"/>
      <c r="H37" s="72"/>
      <c r="I37" s="72"/>
      <c r="J37" s="72"/>
      <c r="K37" s="72"/>
      <c r="L37" s="72"/>
      <c r="M37" s="72"/>
      <c r="N37" s="84" t="str">
        <f>N10</f>
        <v>2025-08</v>
      </c>
      <c r="O37" s="85">
        <f>SUMIFS(tblProjects[Budget],tblProjects[Month],N37,tblProjects[Department],IF($B$5="All","&lt;&gt;",$B$5))</f>
        <v>176499</v>
      </c>
      <c r="P37" s="85">
        <f>SUMIFS(tblProjects[Actual Cost],tblProjects[Month],N37,tblProjects[Department],IF($B$5="All","&lt;&gt;",$B$5))</f>
        <v>174734</v>
      </c>
      <c r="Q37" s="85">
        <f>SUMIFS(tblProjects[Business Value],tblProjects[Month],N37,tblProjects[Department],IF($B$5="All","&lt;&gt;",$B$5))</f>
        <v>256859</v>
      </c>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row>
    <row r="38" spans="1:103" customFormat="1" ht="11.25" customHeight="1">
      <c r="A38" s="72"/>
      <c r="B38" s="72"/>
      <c r="C38" s="72"/>
      <c r="D38" s="72"/>
      <c r="E38" s="72"/>
      <c r="F38" s="72"/>
      <c r="G38" s="72"/>
      <c r="H38" s="72"/>
      <c r="I38" s="72"/>
      <c r="J38" s="72"/>
      <c r="K38" s="72"/>
      <c r="L38" s="72"/>
      <c r="M38" s="72"/>
      <c r="N38" s="82" t="str">
        <f>N11</f>
        <v>2025-09</v>
      </c>
      <c r="O38" s="83">
        <f>SUMIFS(tblProjects[Budget],tblProjects[Month],N38,tblProjects[Department],IF($B$5="All","&lt;&gt;",$B$5))</f>
        <v>120424</v>
      </c>
      <c r="P38" s="83">
        <f>SUMIFS(tblProjects[Actual Cost],tblProjects[Month],N38,tblProjects[Department],IF($B$5="All","&lt;&gt;",$B$5))</f>
        <v>109586</v>
      </c>
      <c r="Q38" s="83">
        <f>SUMIFS(tblProjects[Business Value],tblProjects[Month],N38,tblProjects[Department],IF($B$5="All","&lt;&gt;",$B$5))</f>
        <v>146845</v>
      </c>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row>
    <row r="39" spans="1:103" customFormat="1" ht="11.25" customHeight="1">
      <c r="A39" s="72"/>
      <c r="B39" s="72"/>
      <c r="C39" s="72"/>
      <c r="D39" s="72"/>
      <c r="E39" s="72"/>
      <c r="F39" s="72"/>
      <c r="G39" s="72"/>
      <c r="H39" s="72"/>
      <c r="I39" s="72"/>
      <c r="J39" s="72"/>
      <c r="K39" s="72"/>
      <c r="L39" s="72"/>
      <c r="M39" s="72"/>
      <c r="N39" s="84" t="str">
        <f>N12</f>
        <v>2025-10</v>
      </c>
      <c r="O39" s="85">
        <f>SUMIFS(tblProjects[Budget],tblProjects[Month],N39,tblProjects[Department],IF($B$5="All","&lt;&gt;",$B$5))</f>
        <v>64349</v>
      </c>
      <c r="P39" s="85">
        <f>SUMIFS(tblProjects[Actual Cost],tblProjects[Month],N39,tblProjects[Department],IF($B$5="All","&lt;&gt;",$B$5))</f>
        <v>53410</v>
      </c>
      <c r="Q39" s="85">
        <f>SUMIFS(tblProjects[Business Value],tblProjects[Month],N39,tblProjects[Department],IF($B$5="All","&lt;&gt;",$B$5))</f>
        <v>64626</v>
      </c>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row>
    <row r="40" spans="1:103" customFormat="1" ht="11.25" customHeight="1">
      <c r="A40" s="72"/>
      <c r="B40" s="72"/>
      <c r="C40" s="72"/>
      <c r="D40" s="72"/>
      <c r="E40" s="72"/>
      <c r="F40" s="72"/>
      <c r="G40" s="72"/>
      <c r="H40" s="72"/>
      <c r="I40" s="72"/>
      <c r="J40" s="72"/>
      <c r="K40" s="72"/>
      <c r="L40" s="72"/>
      <c r="M40" s="72"/>
      <c r="N40" s="82" t="str">
        <f>N13</f>
        <v>2025-11</v>
      </c>
      <c r="O40" s="83">
        <f>SUMIFS(tblProjects[Budget],tblProjects[Month],N40,tblProjects[Department],IF($B$5="All","&lt;&gt;",$B$5))</f>
        <v>0</v>
      </c>
      <c r="P40" s="83">
        <f>SUMIFS(tblProjects[Actual Cost],tblProjects[Month],N40,tblProjects[Department],IF($B$5="All","&lt;&gt;",$B$5))</f>
        <v>0</v>
      </c>
      <c r="Q40" s="83">
        <f>SUMIFS(tblProjects[Business Value],tblProjects[Month],N40,tblProjects[Department],IF($B$5="All","&lt;&gt;",$B$5))</f>
        <v>0</v>
      </c>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row>
    <row r="41" spans="1:103" customFormat="1" ht="11.25" customHeight="1">
      <c r="A41" s="72"/>
      <c r="B41" s="72"/>
      <c r="C41" s="72"/>
      <c r="D41" s="72"/>
      <c r="E41" s="72"/>
      <c r="F41" s="72"/>
      <c r="G41" s="72"/>
      <c r="H41" s="72"/>
      <c r="I41" s="72"/>
      <c r="J41" s="72"/>
      <c r="K41" s="72"/>
      <c r="L41" s="72"/>
      <c r="M41" s="72"/>
      <c r="N41" s="84" t="str">
        <f>N14</f>
        <v>2025-12</v>
      </c>
      <c r="O41" s="85">
        <f>SUMIFS(tblProjects[Budget],tblProjects[Month],N41,tblProjects[Department],IF($B$5="All","&lt;&gt;",$B$5))</f>
        <v>209211</v>
      </c>
      <c r="P41" s="85">
        <f>SUMIFS(tblProjects[Actual Cost],tblProjects[Month],N41,tblProjects[Department],IF($B$5="All","&lt;&gt;",$B$5))</f>
        <v>177829</v>
      </c>
      <c r="Q41" s="85">
        <f>SUMIFS(tblProjects[Business Value],tblProjects[Month],N41,tblProjects[Department],IF($B$5="All","&lt;&gt;",$B$5))</f>
        <v>232956</v>
      </c>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row>
    <row r="42" spans="1:103" customFormat="1" ht="11.25" customHeight="1">
      <c r="A42" s="72"/>
      <c r="B42" s="72"/>
      <c r="C42" s="72"/>
      <c r="D42" s="72"/>
      <c r="E42" s="72"/>
      <c r="F42" s="72"/>
      <c r="G42" s="72"/>
      <c r="H42" s="72"/>
      <c r="I42" s="72"/>
      <c r="J42" s="72"/>
      <c r="K42" s="72"/>
      <c r="L42" s="72"/>
      <c r="M42" s="72"/>
      <c r="N42" s="82" t="str">
        <f>N15</f>
        <v>2026-01</v>
      </c>
      <c r="O42" s="83">
        <f>SUMIFS(tblProjects[Budget],tblProjects[Month],N42,tblProjects[Department],IF($B$5="All","&lt;&gt;",$B$5))</f>
        <v>0</v>
      </c>
      <c r="P42" s="83">
        <f>SUMIFS(tblProjects[Actual Cost],tblProjects[Month],N42,tblProjects[Department],IF($B$5="All","&lt;&gt;",$B$5))</f>
        <v>0</v>
      </c>
      <c r="Q42" s="83">
        <f>SUMIFS(tblProjects[Business Value],tblProjects[Month],N42,tblProjects[Department],IF($B$5="All","&lt;&gt;",$B$5))</f>
        <v>0</v>
      </c>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row>
    <row r="43" spans="1:103" customFormat="1" ht="11.25" customHeight="1">
      <c r="A43" s="72"/>
      <c r="B43" s="72"/>
      <c r="C43" s="72"/>
      <c r="D43" s="72"/>
      <c r="E43" s="72"/>
      <c r="F43" s="72"/>
      <c r="G43" s="72"/>
      <c r="H43" s="72"/>
      <c r="I43" s="72"/>
      <c r="J43" s="72"/>
      <c r="K43" s="72"/>
      <c r="L43" s="72"/>
      <c r="M43" s="72"/>
      <c r="N43" s="84" t="str">
        <f>N16</f>
        <v>2026-02</v>
      </c>
      <c r="O43" s="85">
        <f>SUMIFS(tblProjects[Budget],tblProjects[Month],N43,tblProjects[Department],IF($B$5="All","&lt;&gt;",$B$5))</f>
        <v>97061</v>
      </c>
      <c r="P43" s="85">
        <f>SUMIFS(tblProjects[Actual Cost],tblProjects[Month],N43,tblProjects[Department],IF($B$5="All","&lt;&gt;",$B$5))</f>
        <v>102885</v>
      </c>
      <c r="Q43" s="85">
        <f>SUMIFS(tblProjects[Business Value],tblProjects[Month],N43,tblProjects[Department],IF($B$5="All","&lt;&gt;",$B$5))</f>
        <v>157414</v>
      </c>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row>
    <row r="44" spans="1:103" ht="11.25" customHeight="1">
      <c r="N44" s="82" t="str">
        <f>N17</f>
        <v>2026-03</v>
      </c>
      <c r="O44" s="83">
        <f>SUMIFS(tblProjects[Budget],tblProjects[Month],N44,tblProjects[Department],IF($B$5="All","&lt;&gt;",$B$5))</f>
        <v>285986</v>
      </c>
      <c r="P44" s="83">
        <f>SUMIFS(tblProjects[Actual Cost],tblProjects[Month],N44,tblProjects[Department],IF($B$5="All","&lt;&gt;",$B$5))</f>
        <v>280266</v>
      </c>
      <c r="Q44" s="83">
        <f>SUMIFS(tblProjects[Business Value],tblProjects[Month],N44,tblProjects[Department],IF($B$5="All","&lt;&gt;",$B$5))</f>
        <v>392372</v>
      </c>
    </row>
    <row r="45" spans="1:103" ht="11.25" customHeight="1">
      <c r="N45" s="84" t="str">
        <f>N18</f>
        <v>2026-04</v>
      </c>
      <c r="O45" s="85">
        <f>SUMIFS(tblProjects[Budget],tblProjects[Month],N45,tblProjects[Department],IF($B$5="All","&lt;&gt;",$B$5))</f>
        <v>131775</v>
      </c>
      <c r="P45" s="85">
        <f>SUMIFS(tblProjects[Actual Cost],tblProjects[Month],N45,tblProjects[Department],IF($B$5="All","&lt;&gt;",$B$5))</f>
        <v>125186</v>
      </c>
      <c r="Q45" s="85">
        <f>SUMIFS(tblProjects[Business Value],tblProjects[Month],N45,tblProjects[Department],IF($B$5="All","&lt;&gt;",$B$5))</f>
        <v>158986</v>
      </c>
    </row>
    <row r="46" spans="1:103" ht="11.25" customHeight="1">
      <c r="N46" s="82" t="str">
        <f>N19</f>
        <v>2026-05</v>
      </c>
      <c r="O46" s="83">
        <f>SUMIFS(tblProjects[Budget],tblProjects[Month],N46,tblProjects[Department],IF($B$5="All","&lt;&gt;",$B$5))</f>
        <v>261548</v>
      </c>
      <c r="P46" s="83">
        <f>SUMIFS(tblProjects[Actual Cost],tblProjects[Month],N46,tblProjects[Department],IF($B$5="All","&lt;&gt;",$B$5))</f>
        <v>251707</v>
      </c>
      <c r="Q46" s="83">
        <f>SUMIFS(tblProjects[Business Value],tblProjects[Month],N46,tblProjects[Department],IF($B$5="All","&lt;&gt;",$B$5))</f>
        <v>385464</v>
      </c>
    </row>
    <row r="47" spans="1:103" ht="11.25" customHeight="1">
      <c r="N47" s="84" t="str">
        <f>N20</f>
        <v>2026-06</v>
      </c>
      <c r="O47" s="85">
        <f>SUMIFS(tblProjects[Budget],tblProjects[Month],N47,tblProjects[Department],IF($B$5="All","&lt;&gt;",$B$5))</f>
        <v>129773</v>
      </c>
      <c r="P47" s="85">
        <f>SUMIFS(tblProjects[Actual Cost],tblProjects[Month],N47,tblProjects[Department],IF($B$5="All","&lt;&gt;",$B$5))</f>
        <v>119391</v>
      </c>
      <c r="Q47" s="85">
        <f>SUMIFS(tblProjects[Business Value],tblProjects[Month],N47,tblProjects[Department],IF($B$5="All","&lt;&gt;",$B$5))</f>
        <v>163566</v>
      </c>
    </row>
    <row r="48" spans="1:103" ht="11.25" customHeight="1">
      <c r="N48" s="82" t="str">
        <f>N21</f>
        <v>2026-07</v>
      </c>
      <c r="O48" s="83">
        <f>SUMIFS(tblProjects[Budget],tblProjects[Month],N48,tblProjects[Department],IF($B$5="All","&lt;&gt;",$B$5))</f>
        <v>294260</v>
      </c>
      <c r="P48" s="83">
        <f>SUMIFS(tblProjects[Actual Cost],tblProjects[Month],N48,tblProjects[Department],IF($B$5="All","&lt;&gt;",$B$5))</f>
        <v>258206</v>
      </c>
      <c r="Q48" s="83">
        <f>SUMIFS(tblProjects[Business Value],tblProjects[Month],N48,tblProjects[Department],IF($B$5="All","&lt;&gt;",$B$5))</f>
        <v>320175</v>
      </c>
    </row>
    <row r="49" spans="14:17" ht="11.25" customHeight="1">
      <c r="N49" s="84" t="str">
        <f>N22</f>
        <v>2026-08</v>
      </c>
      <c r="O49" s="85">
        <f>SUMIFS(tblProjects[Budget],tblProjects[Month],N49,tblProjects[Department],IF($B$5="All","&lt;&gt;",$B$5))</f>
        <v>164487</v>
      </c>
      <c r="P49" s="85">
        <f>SUMIFS(tblProjects[Actual Cost],tblProjects[Month],N49,tblProjects[Department],IF($B$5="All","&lt;&gt;",$B$5))</f>
        <v>194095</v>
      </c>
      <c r="Q49" s="85">
        <f>SUMIFS(tblProjects[Business Value],tblProjects[Month],N49,tblProjects[Department],IF($B$5="All","&lt;&gt;",$B$5))</f>
        <v>308611</v>
      </c>
    </row>
    <row r="50" spans="14:17" ht="11.25" customHeight="1">
      <c r="N50" s="82" t="str">
        <f>N23</f>
        <v>2026-09</v>
      </c>
      <c r="O50" s="83">
        <f>SUMIFS(tblProjects[Budget],tblProjects[Month],N50,tblProjects[Department],IF($B$5="All","&lt;&gt;",$B$5))</f>
        <v>108412</v>
      </c>
      <c r="P50" s="83">
        <f>SUMIFS(tblProjects[Actual Cost],tblProjects[Month],N50,tblProjects[Department],IF($B$5="All","&lt;&gt;",$B$5))</f>
        <v>119253</v>
      </c>
      <c r="Q50" s="83">
        <f>SUMIFS(tblProjects[Business Value],tblProjects[Month],N50,tblProjects[Department],IF($B$5="All","&lt;&gt;",$B$5))</f>
        <v>174109</v>
      </c>
    </row>
    <row r="51" spans="14:17" ht="11.25" customHeight="1">
      <c r="N51" s="84" t="str">
        <f>N24</f>
        <v>2026-10</v>
      </c>
      <c r="O51" s="85">
        <f>SUMIFS(tblProjects[Budget],tblProjects[Month],N51,tblProjects[Department],IF($B$5="All","&lt;&gt;",$B$5))</f>
        <v>0</v>
      </c>
      <c r="P51" s="85">
        <f>SUMIFS(tblProjects[Actual Cost],tblProjects[Month],N51,tblProjects[Department],IF($B$5="All","&lt;&gt;",$B$5))</f>
        <v>0</v>
      </c>
      <c r="Q51" s="85">
        <f>SUMIFS(tblProjects[Business Value],tblProjects[Month],N51,tblProjects[Department],IF($B$5="All","&lt;&gt;",$B$5))</f>
        <v>0</v>
      </c>
    </row>
    <row r="52" spans="14:17" ht="11.25" customHeight="1">
      <c r="N52" s="82" t="str">
        <f>N25</f>
        <v>2026-11</v>
      </c>
      <c r="O52" s="83">
        <f>SUMIFS(tblProjects[Budget],tblProjects[Month],N52,tblProjects[Department],IF($B$5="All","&lt;&gt;",$B$5))</f>
        <v>253274</v>
      </c>
      <c r="P52" s="83">
        <f>SUMIFS(tblProjects[Actual Cost],tblProjects[Month],N52,tblProjects[Department],IF($B$5="All","&lt;&gt;",$B$5))</f>
        <v>283667</v>
      </c>
      <c r="Q52" s="83">
        <f>SUMIFS(tblProjects[Business Value],tblProjects[Month],N52,tblProjects[Department],IF($B$5="All","&lt;&gt;",$B$5))</f>
        <v>442521</v>
      </c>
    </row>
    <row r="53" spans="14:17" ht="11.25" customHeight="1">
      <c r="N53" s="84" t="str">
        <f>N26</f>
        <v>2026-12</v>
      </c>
      <c r="O53" s="85">
        <f>SUMIFS(tblProjects[Budget],tblProjects[Month],N53,tblProjects[Department],IF($B$5="All","&lt;&gt;",$B$5))</f>
        <v>197199</v>
      </c>
      <c r="P53" s="85">
        <f>SUMIFS(tblProjects[Actual Cost],tblProjects[Month],N53,tblProjects[Department],IF($B$5="All","&lt;&gt;",$B$5))</f>
        <v>205087</v>
      </c>
      <c r="Q53" s="85">
        <f>SUMIFS(tblProjects[Business Value],tblProjects[Month],N53,tblProjects[Department],IF($B$5="All","&lt;&gt;",$B$5))</f>
        <v>293274</v>
      </c>
    </row>
  </sheetData>
  <mergeCells count="12">
    <mergeCell ref="N1:Q1"/>
    <mergeCell ref="N28:Q28"/>
    <mergeCell ref="B12:C12"/>
    <mergeCell ref="A1:H1"/>
    <mergeCell ref="A2:H2"/>
    <mergeCell ref="A4:C4"/>
    <mergeCell ref="B5:C5"/>
    <mergeCell ref="A7:C7"/>
    <mergeCell ref="B8:C8"/>
    <mergeCell ref="B9:C9"/>
    <mergeCell ref="B10:C10"/>
    <mergeCell ref="B11:C11"/>
  </mergeCells>
  <conditionalFormatting sqref="J6:J10">
    <cfRule type="cellIs" dxfId="11" priority="1" operator="greaterThan">
      <formula>0</formula>
    </cfRule>
  </conditionalFormatting>
  <dataValidations count="1">
    <dataValidation type="list" allowBlank="1" showInputMessage="1" showErrorMessage="1" sqref="B5" xr:uid="{A0736037-4D6E-4F9D-BE7F-22D2997DD9AA}">
      <formula1>"All,Operations,Planning,Utilities,Environment,Transport"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55A3-E02A-4385-82C6-EDF51180B99F}">
  <sheetPr>
    <tabColor rgb="FFDCDE78"/>
  </sheetPr>
  <dimension ref="A1:H24"/>
  <sheetViews>
    <sheetView workbookViewId="0">
      <selection activeCell="H18" sqref="H18"/>
    </sheetView>
  </sheetViews>
  <sheetFormatPr defaultRowHeight="15"/>
  <cols>
    <col min="1" max="1" width="20" customWidth="1"/>
    <col min="2" max="3" width="26.7109375" customWidth="1"/>
    <col min="4" max="8" width="14.85546875" customWidth="1"/>
  </cols>
  <sheetData>
    <row r="1" spans="1:8" ht="23.25">
      <c r="A1" s="167" t="s">
        <v>102</v>
      </c>
      <c r="B1" s="167"/>
      <c r="C1" s="167"/>
      <c r="D1" s="167"/>
      <c r="E1" s="167"/>
      <c r="F1" s="167"/>
      <c r="G1" s="167"/>
      <c r="H1" s="167"/>
    </row>
    <row r="2" spans="1:8">
      <c r="A2" s="221" t="s">
        <v>103</v>
      </c>
      <c r="B2" s="221"/>
      <c r="C2" s="221"/>
      <c r="D2" s="221"/>
      <c r="E2" s="221"/>
      <c r="F2" s="221"/>
      <c r="G2" s="221"/>
      <c r="H2" s="221"/>
    </row>
    <row r="4" spans="1:8">
      <c r="A4" s="169" t="s">
        <v>104</v>
      </c>
      <c r="B4" s="169"/>
      <c r="C4" s="169"/>
      <c r="D4" s="169"/>
      <c r="E4" s="169"/>
      <c r="F4" s="169"/>
      <c r="G4" s="169"/>
      <c r="H4" s="169"/>
    </row>
    <row r="5" spans="1:8">
      <c r="A5" s="149" t="s">
        <v>105</v>
      </c>
      <c r="B5" s="149" t="s">
        <v>106</v>
      </c>
      <c r="C5" s="149" t="s">
        <v>107</v>
      </c>
      <c r="D5" s="149" t="s">
        <v>108</v>
      </c>
      <c r="E5" s="149" t="s">
        <v>39</v>
      </c>
      <c r="F5" s="149" t="s">
        <v>109</v>
      </c>
      <c r="G5" s="149" t="s">
        <v>96</v>
      </c>
      <c r="H5" s="149" t="s">
        <v>110</v>
      </c>
    </row>
    <row r="6" spans="1:8">
      <c r="A6" t="s">
        <v>111</v>
      </c>
      <c r="B6" t="s">
        <v>112</v>
      </c>
      <c r="C6" t="s">
        <v>113</v>
      </c>
      <c r="D6" t="s">
        <v>114</v>
      </c>
      <c r="E6">
        <f ca="1">COUNTIF(tblProjects[Project Type],E6)</f>
        <v>0</v>
      </c>
      <c r="F6" s="8">
        <f ca="1">AVERAGEIF(tblProjects[Project Type],E6,tblProjects[Risk Score])</f>
        <v>0</v>
      </c>
      <c r="G6" s="4">
        <f ca="1">AVERAGEIF(tblProjects[Project Type],E6,tblProjects[Completion %])</f>
        <v>0</v>
      </c>
      <c r="H6">
        <f ca="1">TEXT(E6,"0")&amp;" GIS project records"</f>
        <v>0</v>
      </c>
    </row>
    <row r="7" spans="1:8">
      <c r="A7" t="s">
        <v>115</v>
      </c>
      <c r="B7" t="s">
        <v>116</v>
      </c>
      <c r="C7" t="s">
        <v>117</v>
      </c>
      <c r="D7" t="s">
        <v>114</v>
      </c>
      <c r="E7">
        <f ca="1">COUNTIF(tblProjects[Project Type],E7)</f>
        <v>0</v>
      </c>
      <c r="F7" s="8">
        <f ca="1">AVERAGEIF(tblProjects[Project Type],E7,tblProjects[Risk Score])</f>
        <v>0</v>
      </c>
      <c r="G7" s="4">
        <f ca="1">AVERAGEIF(tblProjects[Project Type],E7,tblProjects[Completion %])</f>
        <v>0</v>
      </c>
      <c r="H7">
        <f ca="1">TEXT(E7,"0")&amp;" GIS project records"</f>
        <v>0</v>
      </c>
    </row>
    <row r="8" spans="1:8">
      <c r="A8" t="s">
        <v>118</v>
      </c>
      <c r="B8" t="s">
        <v>119</v>
      </c>
      <c r="C8" t="s">
        <v>120</v>
      </c>
      <c r="D8" t="s">
        <v>114</v>
      </c>
      <c r="E8">
        <f ca="1">COUNTIF(tblProjects[Project Type],E8)</f>
        <v>0</v>
      </c>
      <c r="F8" s="8">
        <f ca="1">AVERAGEIF(tblProjects[Project Type],E8,tblProjects[Risk Score])</f>
        <v>0</v>
      </c>
      <c r="G8" s="4">
        <f ca="1">AVERAGEIF(tblProjects[Project Type],E8,tblProjects[Completion %])</f>
        <v>0</v>
      </c>
      <c r="H8">
        <f ca="1">TEXT(E8,"0")&amp;" GIS project records"</f>
        <v>0</v>
      </c>
    </row>
    <row r="9" spans="1:8">
      <c r="A9" t="s">
        <v>121</v>
      </c>
      <c r="B9" t="s">
        <v>122</v>
      </c>
      <c r="C9" t="s">
        <v>123</v>
      </c>
      <c r="D9" t="s">
        <v>114</v>
      </c>
      <c r="E9">
        <f ca="1">COUNTIF(tblProjects[Project Type],E9)</f>
        <v>0</v>
      </c>
      <c r="F9" s="8">
        <f ca="1">AVERAGEIF(tblProjects[Project Type],E9,tblProjects[Risk Score])</f>
        <v>0</v>
      </c>
      <c r="G9" s="4">
        <f ca="1">AVERAGEIF(tblProjects[Project Type],E9,tblProjects[Completion %])</f>
        <v>0</v>
      </c>
      <c r="H9">
        <f ca="1">TEXT(E9,"0")&amp;" GIS project records"</f>
        <v>0</v>
      </c>
    </row>
    <row r="10" spans="1:8">
      <c r="A10" t="s">
        <v>124</v>
      </c>
      <c r="B10" t="s">
        <v>125</v>
      </c>
      <c r="C10" t="s">
        <v>126</v>
      </c>
      <c r="D10" t="s">
        <v>114</v>
      </c>
      <c r="E10">
        <f ca="1">COUNTIF(tblProjects[Project Type],E10)</f>
        <v>0</v>
      </c>
      <c r="F10" s="8">
        <f ca="1">AVERAGEIF(tblProjects[Project Type],E10,tblProjects[Risk Score])</f>
        <v>0</v>
      </c>
      <c r="G10" s="4">
        <f ca="1">AVERAGEIF(tblProjects[Project Type],E10,tblProjects[Completion %])</f>
        <v>0</v>
      </c>
      <c r="H10">
        <f ca="1">TEXT(E10,"0")&amp;" GIS project records"</f>
        <v>0</v>
      </c>
    </row>
    <row r="13" spans="1:8">
      <c r="A13" s="169" t="s">
        <v>127</v>
      </c>
      <c r="B13" s="169"/>
      <c r="C13" s="169"/>
      <c r="D13" s="169"/>
      <c r="E13" s="169"/>
      <c r="F13" s="169"/>
      <c r="G13" s="169"/>
      <c r="H13" s="169"/>
    </row>
    <row r="14" spans="1:8">
      <c r="A14" s="149" t="s">
        <v>128</v>
      </c>
      <c r="B14" s="149" t="s">
        <v>129</v>
      </c>
      <c r="C14" s="149" t="s">
        <v>40</v>
      </c>
      <c r="D14" s="149" t="s">
        <v>130</v>
      </c>
      <c r="E14" s="149" t="s">
        <v>38</v>
      </c>
      <c r="F14" s="149" t="s">
        <v>131</v>
      </c>
      <c r="G14" s="149" t="s">
        <v>132</v>
      </c>
      <c r="H14" s="149" t="s">
        <v>133</v>
      </c>
    </row>
    <row r="15" spans="1:8">
      <c r="A15" t="str">
        <f>INDEX(tblProjects[Project ID],2)</f>
        <v>GIS-002</v>
      </c>
      <c r="B15" t="str">
        <f>INDEX(tblProjects[Project Name],2)</f>
        <v>South Data Quality 02</v>
      </c>
      <c r="C15" t="str">
        <f>INDEX(tblProjects[Region],2)</f>
        <v>South</v>
      </c>
      <c r="D15" t="str">
        <f>INDEX(tblProjects[Project Type],2)</f>
        <v>Data Quality</v>
      </c>
      <c r="E15" t="str">
        <f>INDEX(tblProjects[Status],2)</f>
        <v>On Hold</v>
      </c>
      <c r="F15" s="6">
        <f>INDEX(tblProjects[X Coordinate],2)</f>
        <v>72.64</v>
      </c>
      <c r="G15" s="6">
        <f>INDEX(tblProjects[Y Coordinate],2)</f>
        <v>18.809999999999999</v>
      </c>
      <c r="H15">
        <f>INDEX(tblProjects[Risk Score],2)</f>
        <v>7</v>
      </c>
    </row>
    <row r="16" spans="1:8">
      <c r="A16" t="str">
        <f>INDEX(tblProjects[Project ID],3)</f>
        <v>GIS-003</v>
      </c>
      <c r="B16" t="str">
        <f>INDEX(tblProjects[Project Name],3)</f>
        <v>East Field Survey 03</v>
      </c>
      <c r="C16" t="str">
        <f>INDEX(tblProjects[Region],3)</f>
        <v>East</v>
      </c>
      <c r="D16" t="str">
        <f>INDEX(tblProjects[Project Type],3)</f>
        <v>Field Survey</v>
      </c>
      <c r="E16" t="str">
        <f>INDEX(tblProjects[Status],3)</f>
        <v>At Risk</v>
      </c>
      <c r="F16" s="6">
        <f>INDEX(tblProjects[X Coordinate],3)</f>
        <v>72.78</v>
      </c>
      <c r="G16" s="6">
        <f>INDEX(tblProjects[Y Coordinate],3)</f>
        <v>18.920000000000002</v>
      </c>
      <c r="H16">
        <f>INDEX(tblProjects[Risk Score],3)</f>
        <v>9</v>
      </c>
    </row>
    <row r="17" spans="1:8">
      <c r="A17" t="str">
        <f>INDEX(tblProjects[Project ID],4)</f>
        <v>GIS-004</v>
      </c>
      <c r="B17" t="str">
        <f>INDEX(tblProjects[Project Name],4)</f>
        <v>West Spatial Analysis 04</v>
      </c>
      <c r="C17" t="str">
        <f>INDEX(tblProjects[Region],4)</f>
        <v>West</v>
      </c>
      <c r="D17" t="str">
        <f>INDEX(tblProjects[Project Type],4)</f>
        <v>Spatial Analysis</v>
      </c>
      <c r="E17" t="str">
        <f>INDEX(tblProjects[Status],4)</f>
        <v>Complete</v>
      </c>
      <c r="F17" s="6">
        <f>INDEX(tblProjects[X Coordinate],4)</f>
        <v>72.92</v>
      </c>
      <c r="G17" s="6">
        <f>INDEX(tblProjects[Y Coordinate],4)</f>
        <v>19.03</v>
      </c>
      <c r="H17">
        <f>INDEX(tblProjects[Risk Score],4)</f>
        <v>4</v>
      </c>
    </row>
    <row r="18" spans="1:8">
      <c r="A18" t="str">
        <f>INDEX(tblProjects[Project ID],5)</f>
        <v>GIS-005</v>
      </c>
      <c r="B18" t="str">
        <f>INDEX(tblProjects[Project Name],5)</f>
        <v>Central Dashboard 05</v>
      </c>
      <c r="C18" t="str">
        <f>INDEX(tblProjects[Region],5)</f>
        <v>Central</v>
      </c>
      <c r="D18" t="str">
        <f>INDEX(tblProjects[Project Type],5)</f>
        <v>Dashboard</v>
      </c>
      <c r="E18" t="str">
        <f>INDEX(tblProjects[Status],5)</f>
        <v>Active</v>
      </c>
      <c r="F18" s="6">
        <f>INDEX(tblProjects[X Coordinate],5)</f>
        <v>73.06</v>
      </c>
      <c r="G18" s="6">
        <f>INDEX(tblProjects[Y Coordinate],5)</f>
        <v>19.14</v>
      </c>
      <c r="H18">
        <f>INDEX(tblProjects[Risk Score],5)</f>
        <v>1</v>
      </c>
    </row>
    <row r="19" spans="1:8">
      <c r="A19" t="str">
        <f>INDEX(tblProjects[Project ID],6)</f>
        <v>GIS-006</v>
      </c>
      <c r="B19" t="str">
        <f>INDEX(tblProjects[Project Name],6)</f>
        <v>North Asset Mapping 06</v>
      </c>
      <c r="C19" t="str">
        <f>INDEX(tblProjects[Region],6)</f>
        <v>North</v>
      </c>
      <c r="D19" t="str">
        <f>INDEX(tblProjects[Project Type],6)</f>
        <v>Asset Mapping</v>
      </c>
      <c r="E19" t="str">
        <f>INDEX(tblProjects[Status],6)</f>
        <v>On Hold</v>
      </c>
      <c r="F19" s="6">
        <f>INDEX(tblProjects[X Coordinate],6)</f>
        <v>73.2</v>
      </c>
      <c r="G19" s="6">
        <f>INDEX(tblProjects[Y Coordinate],6)</f>
        <v>19.25</v>
      </c>
      <c r="H19">
        <f>INDEX(tblProjects[Risk Score],6)</f>
        <v>8</v>
      </c>
    </row>
    <row r="20" spans="1:8">
      <c r="A20" t="str">
        <f>INDEX(tblProjects[Project ID],7)</f>
        <v>GIS-007</v>
      </c>
      <c r="B20" t="str">
        <f>INDEX(tblProjects[Project Name],7)</f>
        <v>South Data Quality 07</v>
      </c>
      <c r="C20" t="str">
        <f>INDEX(tblProjects[Region],7)</f>
        <v>South</v>
      </c>
      <c r="D20" t="str">
        <f>INDEX(tblProjects[Project Type],7)</f>
        <v>Data Quality</v>
      </c>
      <c r="E20" t="str">
        <f>INDEX(tblProjects[Status],7)</f>
        <v>At Risk</v>
      </c>
      <c r="F20" s="6">
        <f>INDEX(tblProjects[X Coordinate],7)</f>
        <v>73.34</v>
      </c>
      <c r="G20" s="6">
        <f>INDEX(tblProjects[Y Coordinate],7)</f>
        <v>19.36</v>
      </c>
      <c r="H20">
        <f>INDEX(tblProjects[Risk Score],7)</f>
        <v>9</v>
      </c>
    </row>
    <row r="21" spans="1:8">
      <c r="A21" t="str">
        <f>INDEX(tblProjects[Project ID],8)</f>
        <v>GIS-008</v>
      </c>
      <c r="B21" t="str">
        <f>INDEX(tblProjects[Project Name],8)</f>
        <v>East Field Survey 08</v>
      </c>
      <c r="C21" t="str">
        <f>INDEX(tblProjects[Region],8)</f>
        <v>East</v>
      </c>
      <c r="D21" t="str">
        <f>INDEX(tblProjects[Project Type],8)</f>
        <v>Field Survey</v>
      </c>
      <c r="E21" t="str">
        <f>INDEX(tblProjects[Status],8)</f>
        <v>Complete</v>
      </c>
      <c r="F21" s="6">
        <f>INDEX(tblProjects[X Coordinate],8)</f>
        <v>73.48</v>
      </c>
      <c r="G21" s="6">
        <f>INDEX(tblProjects[Y Coordinate],8)</f>
        <v>19.47</v>
      </c>
      <c r="H21">
        <f>INDEX(tblProjects[Risk Score],8)</f>
        <v>4</v>
      </c>
    </row>
    <row r="22" spans="1:8">
      <c r="A22" t="str">
        <f>INDEX(tblProjects[Project ID],9)</f>
        <v>GIS-009</v>
      </c>
      <c r="B22" t="str">
        <f>INDEX(tblProjects[Project Name],9)</f>
        <v>West Spatial Analysis 09</v>
      </c>
      <c r="C22" t="str">
        <f>INDEX(tblProjects[Region],9)</f>
        <v>West</v>
      </c>
      <c r="D22" t="str">
        <f>INDEX(tblProjects[Project Type],9)</f>
        <v>Spatial Analysis</v>
      </c>
      <c r="E22" t="str">
        <f>INDEX(tblProjects[Status],9)</f>
        <v>Active</v>
      </c>
      <c r="F22" s="6">
        <f>INDEX(tblProjects[X Coordinate],9)</f>
        <v>73.62</v>
      </c>
      <c r="G22" s="6">
        <f>INDEX(tblProjects[Y Coordinate],9)</f>
        <v>19.579999999999998</v>
      </c>
      <c r="H22">
        <f>INDEX(tblProjects[Risk Score],9)</f>
        <v>1</v>
      </c>
    </row>
    <row r="23" spans="1:8">
      <c r="A23" t="str">
        <f>INDEX(tblProjects[Project ID],10)</f>
        <v>GIS-010</v>
      </c>
      <c r="B23" t="str">
        <f>INDEX(tblProjects[Project Name],10)</f>
        <v>Central Dashboard 10</v>
      </c>
      <c r="C23" t="str">
        <f>INDEX(tblProjects[Region],10)</f>
        <v>Central</v>
      </c>
      <c r="D23" t="str">
        <f>INDEX(tblProjects[Project Type],10)</f>
        <v>Dashboard</v>
      </c>
      <c r="E23" t="str">
        <f>INDEX(tblProjects[Status],10)</f>
        <v>Active</v>
      </c>
      <c r="F23" s="6">
        <f>INDEX(tblProjects[X Coordinate],10)</f>
        <v>73.760000000000005</v>
      </c>
      <c r="G23" s="6">
        <f>INDEX(tblProjects[Y Coordinate],10)</f>
        <v>19.690000000000001</v>
      </c>
      <c r="H23">
        <f>INDEX(tblProjects[Risk Score],10)</f>
        <v>4</v>
      </c>
    </row>
    <row r="24" spans="1:8">
      <c r="A24" t="str">
        <f>INDEX(tblProjects[Project ID],11)</f>
        <v>GIS-011</v>
      </c>
      <c r="B24" t="str">
        <f>INDEX(tblProjects[Project Name],11)</f>
        <v>North Asset Mapping 11</v>
      </c>
      <c r="C24" t="str">
        <f>INDEX(tblProjects[Region],11)</f>
        <v>North</v>
      </c>
      <c r="D24" t="str">
        <f>INDEX(tblProjects[Project Type],11)</f>
        <v>Asset Mapping</v>
      </c>
      <c r="E24" t="str">
        <f>INDEX(tblProjects[Status],11)</f>
        <v>On Hold</v>
      </c>
      <c r="F24" s="6">
        <f>INDEX(tblProjects[X Coordinate],11)</f>
        <v>73.900000000000006</v>
      </c>
      <c r="G24" s="6">
        <f>INDEX(tblProjects[Y Coordinate],11)</f>
        <v>19.8</v>
      </c>
      <c r="H24">
        <f>INDEX(tblProjects[Risk Score],11)</f>
        <v>7</v>
      </c>
    </row>
  </sheetData>
  <mergeCells count="4">
    <mergeCell ref="A1:H1"/>
    <mergeCell ref="A2:H2"/>
    <mergeCell ref="A4:H4"/>
    <mergeCell ref="A13:H13"/>
  </mergeCells>
  <conditionalFormatting sqref="H15:H2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FDE9-1586-4586-B264-D173CCB533B0}">
  <sheetPr>
    <tabColor rgb="FFEAC5FC"/>
  </sheetPr>
  <dimension ref="A1:CW42"/>
  <sheetViews>
    <sheetView topLeftCell="A4" workbookViewId="0">
      <selection activeCell="L23" sqref="L23"/>
    </sheetView>
  </sheetViews>
  <sheetFormatPr defaultRowHeight="15"/>
  <cols>
    <col min="1" max="1" width="22.85546875" customWidth="1"/>
    <col min="2" max="8" width="15.28515625" customWidth="1"/>
    <col min="10" max="10" width="21.28515625" customWidth="1"/>
    <col min="11" max="11" width="18" customWidth="1"/>
    <col min="12" max="13" width="16.7109375" customWidth="1"/>
    <col min="14" max="14" width="19.42578125" customWidth="1"/>
    <col min="15" max="16" width="13.5703125" customWidth="1"/>
  </cols>
  <sheetData>
    <row r="1" spans="1:101" ht="23.25">
      <c r="A1" s="167" t="s">
        <v>134</v>
      </c>
      <c r="B1" s="167"/>
      <c r="C1" s="167"/>
      <c r="D1" s="167"/>
      <c r="E1" s="167"/>
      <c r="F1" s="167"/>
      <c r="G1" s="167"/>
      <c r="H1" s="167"/>
      <c r="J1" s="233" t="s">
        <v>135</v>
      </c>
      <c r="K1" s="233"/>
      <c r="L1" s="233"/>
      <c r="M1" s="233"/>
      <c r="N1" s="233"/>
    </row>
    <row r="2" spans="1:101">
      <c r="A2" s="235" t="s">
        <v>136</v>
      </c>
      <c r="B2" s="235"/>
      <c r="C2" s="235"/>
      <c r="D2" s="235"/>
      <c r="E2" s="235"/>
      <c r="F2" s="235"/>
      <c r="G2" s="235"/>
      <c r="H2" s="235"/>
      <c r="J2" s="233"/>
      <c r="K2" s="233"/>
      <c r="L2" s="233"/>
      <c r="M2" s="233"/>
      <c r="N2" s="233"/>
    </row>
    <row r="3" spans="1:101" ht="18.75">
      <c r="J3" s="234">
        <v>46274</v>
      </c>
      <c r="K3" s="234"/>
      <c r="L3" s="234"/>
      <c r="M3" s="234"/>
      <c r="N3" s="234"/>
    </row>
    <row r="4" spans="1:101" ht="15.75">
      <c r="A4" s="169" t="s">
        <v>137</v>
      </c>
      <c r="B4" s="169"/>
      <c r="C4" s="169"/>
      <c r="D4" s="169"/>
      <c r="E4" s="169"/>
      <c r="F4" s="169"/>
      <c r="G4" s="169"/>
      <c r="H4" s="169"/>
      <c r="J4" s="63" t="s">
        <v>138</v>
      </c>
      <c r="K4" s="64" t="s">
        <v>139</v>
      </c>
      <c r="L4" s="97" t="s">
        <v>140</v>
      </c>
      <c r="M4" s="65" t="s">
        <v>141</v>
      </c>
      <c r="N4" s="69" t="s">
        <v>142</v>
      </c>
    </row>
    <row r="5" spans="1:101">
      <c r="A5" s="149" t="s">
        <v>143</v>
      </c>
      <c r="B5" s="149" t="s">
        <v>39</v>
      </c>
      <c r="C5" s="149" t="s">
        <v>42</v>
      </c>
      <c r="D5" s="149" t="s">
        <v>48</v>
      </c>
      <c r="E5" s="149" t="s">
        <v>144</v>
      </c>
      <c r="F5" s="149" t="s">
        <v>145</v>
      </c>
      <c r="G5" s="149" t="s">
        <v>96</v>
      </c>
      <c r="H5" s="149" t="s">
        <v>146</v>
      </c>
      <c r="J5" s="66" t="s">
        <v>147</v>
      </c>
      <c r="K5" s="95">
        <f>_xlfn.XLOOKUP(J5,$A$6:$A$11,$B$6:$B$11)</f>
        <v>20</v>
      </c>
      <c r="L5" s="96">
        <f>K5-(_xlfn.XLOOKUP(J5,$A$6:$A$11,$C$6:$C$11))</f>
        <v>13</v>
      </c>
      <c r="M5" s="96">
        <f>K5-L5</f>
        <v>7</v>
      </c>
      <c r="N5" s="108" t="s">
        <v>148</v>
      </c>
    </row>
    <row r="6" spans="1:101">
      <c r="A6" s="35" t="s">
        <v>147</v>
      </c>
      <c r="B6" s="35">
        <f>COUNTIF(tblProjects[Manager],A6)</f>
        <v>20</v>
      </c>
      <c r="C6" s="35">
        <f>COUNTIFS(tblProjects[Manager],A6,tblProjects[Status],"Active")</f>
        <v>7</v>
      </c>
      <c r="D6" s="35">
        <f>COUNTIFS(tblProjects[Manager],A6,tblProjects[Status],"At Risk")</f>
        <v>7</v>
      </c>
      <c r="E6" s="35">
        <f>SUMIF(tblProjects[Manager],A6,tblProjects[Hours])</f>
        <v>17320</v>
      </c>
      <c r="F6" s="35">
        <f>SUMIF(tblProjects[Manager],A6,tblProjects[Team Size])</f>
        <v>200</v>
      </c>
      <c r="G6" s="35">
        <f>AVERAGEIF(tblProjects[Manager],A6,tblProjects[Completion %])</f>
        <v>0.49850000000000005</v>
      </c>
      <c r="H6" s="35">
        <f>SUMIF(tblProjects[Manager],A6,tblProjects[Business Value])</f>
        <v>5323618</v>
      </c>
      <c r="J6" s="67" t="s">
        <v>149</v>
      </c>
      <c r="K6" s="96">
        <f>_xlfn.XLOOKUP(J6,$A$6:$A$11,$B$6:$B$11)</f>
        <v>20</v>
      </c>
      <c r="L6" s="96">
        <f>K6-(_xlfn.XLOOKUP(J6,$A$6:$A$11,$C$6:$C$11))</f>
        <v>14</v>
      </c>
      <c r="M6" s="96">
        <f t="shared" ref="M6:M15" si="0">K6-L6</f>
        <v>6</v>
      </c>
      <c r="N6" s="109" t="s">
        <v>150</v>
      </c>
    </row>
    <row r="7" spans="1:101">
      <c r="A7" s="35" t="s">
        <v>149</v>
      </c>
      <c r="B7" s="35">
        <f>COUNTIF(tblProjects[Manager],A7)</f>
        <v>20</v>
      </c>
      <c r="C7" s="35">
        <f>COUNTIFS(tblProjects[Manager],A7,tblProjects[Status],"Active")</f>
        <v>6</v>
      </c>
      <c r="D7" s="35">
        <f>COUNTIFS(tblProjects[Manager],A7,tblProjects[Status],"At Risk")</f>
        <v>0</v>
      </c>
      <c r="E7" s="35">
        <f>SUMIF(tblProjects[Manager],A7,tblProjects[Hours])</f>
        <v>18700</v>
      </c>
      <c r="F7" s="35">
        <f>SUMIF(tblProjects[Manager],A7,tblProjects[Team Size])</f>
        <v>220</v>
      </c>
      <c r="G7" s="35">
        <f>AVERAGEIF(tblProjects[Manager],A7,tblProjects[Completion %])</f>
        <v>0.61550000000000005</v>
      </c>
      <c r="H7" s="35">
        <f>SUMIF(tblProjects[Manager],A7,tblProjects[Business Value])</f>
        <v>4808184</v>
      </c>
      <c r="J7" s="67" t="s">
        <v>151</v>
      </c>
      <c r="K7" s="96">
        <f t="shared" ref="K7:K15" si="1">_xlfn.XLOOKUP(J7,$A$6:$A$11,$B$6:$B$11)</f>
        <v>20</v>
      </c>
      <c r="L7" s="96">
        <f t="shared" ref="L7:L15" si="2">K7-(_xlfn.XLOOKUP(J7,$A$6:$A$11,$C$6:$C$11))</f>
        <v>13</v>
      </c>
      <c r="M7" s="96">
        <f t="shared" si="0"/>
        <v>7</v>
      </c>
      <c r="N7" s="109" t="s">
        <v>111</v>
      </c>
    </row>
    <row r="8" spans="1:101" s="19" customFormat="1">
      <c r="A8" s="35" t="s">
        <v>151</v>
      </c>
      <c r="B8" s="35">
        <f>COUNTIF(tblProjects[Manager],A8)</f>
        <v>20</v>
      </c>
      <c r="C8" s="35">
        <f>COUNTIFS(tblProjects[Manager],A8,tblProjects[Status],"Active")</f>
        <v>7</v>
      </c>
      <c r="D8" s="35">
        <f>COUNTIFS(tblProjects[Manager],A8,tblProjects[Status],"At Risk")</f>
        <v>7</v>
      </c>
      <c r="E8" s="35">
        <f>SUMIF(tblProjects[Manager],A8,tblProjects[Hours])</f>
        <v>17240</v>
      </c>
      <c r="F8" s="35">
        <f>SUMIF(tblProjects[Manager],A8,tblProjects[Team Size])</f>
        <v>120</v>
      </c>
      <c r="G8" s="35">
        <f>AVERAGEIF(tblProjects[Manager],A8,tblProjects[Completion %])</f>
        <v>0.70050000000000001</v>
      </c>
      <c r="H8" s="35">
        <f>SUMIF(tblProjects[Manager],A8,tblProjects[Business Value])</f>
        <v>4910632</v>
      </c>
      <c r="I8"/>
      <c r="J8" s="67" t="s">
        <v>152</v>
      </c>
      <c r="K8" s="96">
        <f t="shared" si="1"/>
        <v>20</v>
      </c>
      <c r="L8" s="96">
        <f t="shared" si="2"/>
        <v>14</v>
      </c>
      <c r="M8" s="96">
        <f t="shared" si="0"/>
        <v>6</v>
      </c>
      <c r="N8" s="109" t="s">
        <v>153</v>
      </c>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row>
    <row r="9" spans="1:101">
      <c r="A9" s="35" t="s">
        <v>152</v>
      </c>
      <c r="B9" s="35">
        <f>COUNTIF(tblProjects[Manager],A9)</f>
        <v>20</v>
      </c>
      <c r="C9" s="35">
        <f>COUNTIFS(tblProjects[Manager],A9,tblProjects[Status],"Active")</f>
        <v>6</v>
      </c>
      <c r="D9" s="35">
        <f>COUNTIFS(tblProjects[Manager],A9,tblProjects[Status],"At Risk")</f>
        <v>7</v>
      </c>
      <c r="E9" s="35">
        <f>SUMIF(tblProjects[Manager],A9,tblProjects[Hours])</f>
        <v>17440</v>
      </c>
      <c r="F9" s="35">
        <f>SUMIF(tblProjects[Manager],A9,tblProjects[Team Size])</f>
        <v>140</v>
      </c>
      <c r="G9" s="35">
        <f>AVERAGEIF(tblProjects[Manager],A9,tblProjects[Completion %])</f>
        <v>0.46250000000000008</v>
      </c>
      <c r="H9" s="35">
        <f>SUMIF(tblProjects[Manager],A9,tblProjects[Business Value])</f>
        <v>4571149</v>
      </c>
      <c r="J9" s="67" t="s">
        <v>154</v>
      </c>
      <c r="K9" s="96">
        <f t="shared" si="1"/>
        <v>20</v>
      </c>
      <c r="L9" s="96">
        <f t="shared" si="2"/>
        <v>13</v>
      </c>
      <c r="M9" s="96">
        <f t="shared" si="0"/>
        <v>7</v>
      </c>
      <c r="N9" s="109" t="s">
        <v>155</v>
      </c>
    </row>
    <row r="10" spans="1:101">
      <c r="A10" s="35" t="s">
        <v>154</v>
      </c>
      <c r="B10" s="35">
        <f>COUNTIF(tblProjects[Manager],A10)</f>
        <v>20</v>
      </c>
      <c r="C10" s="35">
        <f>COUNTIFS(tblProjects[Manager],A10,tblProjects[Status],"Active")</f>
        <v>7</v>
      </c>
      <c r="D10" s="35">
        <f>COUNTIFS(tblProjects[Manager],A10,tblProjects[Status],"At Risk")</f>
        <v>0</v>
      </c>
      <c r="E10" s="35">
        <f>SUMIF(tblProjects[Manager],A10,tblProjects[Hours])</f>
        <v>17400</v>
      </c>
      <c r="F10" s="35">
        <f>SUMIF(tblProjects[Manager],A10,tblProjects[Team Size])</f>
        <v>160</v>
      </c>
      <c r="G10" s="35">
        <f>AVERAGEIF(tblProjects[Manager],A10,tblProjects[Completion %])</f>
        <v>0.65650000000000008</v>
      </c>
      <c r="H10" s="35">
        <f>SUMIF(tblProjects[Manager],A10,tblProjects[Business Value])</f>
        <v>5119850</v>
      </c>
      <c r="J10" s="67" t="s">
        <v>156</v>
      </c>
      <c r="K10" s="96">
        <f t="shared" si="1"/>
        <v>20</v>
      </c>
      <c r="L10" s="96">
        <f t="shared" si="2"/>
        <v>13</v>
      </c>
      <c r="M10" s="96">
        <f t="shared" si="0"/>
        <v>7</v>
      </c>
      <c r="N10" s="109" t="s">
        <v>157</v>
      </c>
    </row>
    <row r="11" spans="1:101">
      <c r="A11" s="35" t="s">
        <v>156</v>
      </c>
      <c r="B11" s="35">
        <f>COUNTIF(tblProjects[Manager],A11)</f>
        <v>20</v>
      </c>
      <c r="C11" s="35">
        <f>COUNTIFS(tblProjects[Manager],A11,tblProjects[Status],"Active")</f>
        <v>7</v>
      </c>
      <c r="D11" s="35">
        <f>COUNTIFS(tblProjects[Manager],A11,tblProjects[Status],"At Risk")</f>
        <v>6</v>
      </c>
      <c r="E11" s="35">
        <f>SUMIF(tblProjects[Manager],A11,tblProjects[Hours])</f>
        <v>15940</v>
      </c>
      <c r="F11" s="35">
        <f>SUMIF(tblProjects[Manager],A11,tblProjects[Team Size])</f>
        <v>180</v>
      </c>
      <c r="G11" s="35">
        <f>AVERAGEIF(tblProjects[Manager],A11,tblProjects[Completion %])</f>
        <v>0.6984999999999999</v>
      </c>
      <c r="H11" s="35">
        <f>SUMIF(tblProjects[Manager],A11,tblProjects[Business Value])</f>
        <v>4607412</v>
      </c>
      <c r="J11" s="67" t="s">
        <v>149</v>
      </c>
      <c r="K11" s="96">
        <f t="shared" si="1"/>
        <v>20</v>
      </c>
      <c r="L11" s="96">
        <f t="shared" si="2"/>
        <v>14</v>
      </c>
      <c r="M11" s="96">
        <f t="shared" si="0"/>
        <v>6</v>
      </c>
      <c r="N11" s="109" t="s">
        <v>150</v>
      </c>
    </row>
    <row r="12" spans="1:101">
      <c r="J12" s="67" t="s">
        <v>151</v>
      </c>
      <c r="K12" s="96">
        <f t="shared" si="1"/>
        <v>20</v>
      </c>
      <c r="L12" s="96">
        <f t="shared" si="2"/>
        <v>13</v>
      </c>
      <c r="M12" s="96">
        <f t="shared" si="0"/>
        <v>7</v>
      </c>
      <c r="N12" s="109" t="s">
        <v>111</v>
      </c>
    </row>
    <row r="13" spans="1:101">
      <c r="J13" s="67" t="s">
        <v>152</v>
      </c>
      <c r="K13" s="96">
        <f t="shared" si="1"/>
        <v>20</v>
      </c>
      <c r="L13" s="96">
        <f t="shared" si="2"/>
        <v>14</v>
      </c>
      <c r="M13" s="96">
        <f t="shared" si="0"/>
        <v>6</v>
      </c>
      <c r="N13" s="109" t="s">
        <v>153</v>
      </c>
    </row>
    <row r="14" spans="1:101">
      <c r="A14" s="169" t="s">
        <v>158</v>
      </c>
      <c r="B14" s="169"/>
      <c r="C14" s="169"/>
      <c r="D14" s="169"/>
      <c r="E14" s="169"/>
      <c r="F14" s="169"/>
      <c r="G14" s="169"/>
      <c r="H14" s="169"/>
      <c r="J14" s="67" t="s">
        <v>154</v>
      </c>
      <c r="K14" s="96">
        <f t="shared" si="1"/>
        <v>20</v>
      </c>
      <c r="L14" s="96">
        <f t="shared" si="2"/>
        <v>13</v>
      </c>
      <c r="M14" s="96">
        <f t="shared" si="0"/>
        <v>7</v>
      </c>
      <c r="N14" s="109" t="s">
        <v>155</v>
      </c>
    </row>
    <row r="15" spans="1:101" ht="15.75" customHeight="1">
      <c r="A15" s="149" t="s">
        <v>142</v>
      </c>
      <c r="B15" s="149" t="s">
        <v>159</v>
      </c>
      <c r="C15" s="149" t="s">
        <v>160</v>
      </c>
      <c r="D15" s="149" t="s">
        <v>161</v>
      </c>
      <c r="E15" s="149" t="s">
        <v>162</v>
      </c>
      <c r="F15" s="149" t="s">
        <v>163</v>
      </c>
      <c r="G15" s="149" t="s">
        <v>164</v>
      </c>
      <c r="H15" s="149" t="s">
        <v>165</v>
      </c>
      <c r="J15" s="68" t="s">
        <v>156</v>
      </c>
      <c r="K15" s="98">
        <f t="shared" si="1"/>
        <v>20</v>
      </c>
      <c r="L15" s="98">
        <f t="shared" si="2"/>
        <v>13</v>
      </c>
      <c r="M15" s="98">
        <f t="shared" si="0"/>
        <v>7</v>
      </c>
      <c r="N15" s="110" t="s">
        <v>157</v>
      </c>
    </row>
    <row r="16" spans="1:101" ht="16.5" customHeight="1">
      <c r="A16" s="35" t="s">
        <v>148</v>
      </c>
      <c r="B16" s="35" t="s">
        <v>166</v>
      </c>
      <c r="C16" s="35" t="s">
        <v>167</v>
      </c>
      <c r="D16" s="35" t="s">
        <v>168</v>
      </c>
      <c r="E16" s="35" t="s">
        <v>168</v>
      </c>
      <c r="F16" s="35" t="s">
        <v>168</v>
      </c>
      <c r="G16" s="35" t="s">
        <v>169</v>
      </c>
      <c r="H16" s="35" t="s">
        <v>170</v>
      </c>
      <c r="J16" s="227" t="s">
        <v>171</v>
      </c>
      <c r="K16" s="99" t="s">
        <v>148</v>
      </c>
      <c r="L16" s="100">
        <f>COUNTIF(N5:N15,K16)</f>
        <v>1</v>
      </c>
      <c r="M16" s="105">
        <f>SUMIF(N5:N15,K16,M5:M15)</f>
        <v>7</v>
      </c>
      <c r="N16" s="230" t="s">
        <v>172</v>
      </c>
    </row>
    <row r="17" spans="1:14" ht="16.5" customHeight="1">
      <c r="A17" s="35" t="s">
        <v>150</v>
      </c>
      <c r="B17" s="35" t="s">
        <v>167</v>
      </c>
      <c r="C17" s="35" t="s">
        <v>169</v>
      </c>
      <c r="D17" s="35" t="s">
        <v>168</v>
      </c>
      <c r="E17" s="35" t="s">
        <v>166</v>
      </c>
      <c r="F17" s="35" t="s">
        <v>168</v>
      </c>
      <c r="G17" s="35" t="s">
        <v>169</v>
      </c>
      <c r="H17" s="35" t="s">
        <v>173</v>
      </c>
      <c r="J17" s="228"/>
      <c r="K17" s="101" t="s">
        <v>150</v>
      </c>
      <c r="L17" s="102">
        <f t="shared" ref="L17:L21" si="3">COUNTIF(N6:N16,K17)</f>
        <v>2</v>
      </c>
      <c r="M17" s="106">
        <f t="shared" ref="M17:M21" si="4">SUMIF(N6:N16,K17,M6:M16)</f>
        <v>12</v>
      </c>
      <c r="N17" s="231"/>
    </row>
    <row r="18" spans="1:14" ht="16.5" customHeight="1">
      <c r="A18" s="35" t="s">
        <v>111</v>
      </c>
      <c r="B18" s="35" t="s">
        <v>166</v>
      </c>
      <c r="C18" s="35" t="s">
        <v>167</v>
      </c>
      <c r="D18" s="35" t="s">
        <v>168</v>
      </c>
      <c r="E18" s="35" t="s">
        <v>168</v>
      </c>
      <c r="F18" s="35" t="s">
        <v>168</v>
      </c>
      <c r="G18" s="35" t="s">
        <v>169</v>
      </c>
      <c r="H18" s="35" t="s">
        <v>173</v>
      </c>
      <c r="J18" s="228"/>
      <c r="K18" s="101" t="s">
        <v>111</v>
      </c>
      <c r="L18" s="102">
        <f t="shared" si="3"/>
        <v>2</v>
      </c>
      <c r="M18" s="106">
        <f t="shared" si="4"/>
        <v>14</v>
      </c>
      <c r="N18" s="231"/>
    </row>
    <row r="19" spans="1:14" ht="16.5" customHeight="1">
      <c r="A19" s="35" t="s">
        <v>153</v>
      </c>
      <c r="B19" s="35" t="s">
        <v>166</v>
      </c>
      <c r="C19" s="35" t="s">
        <v>169</v>
      </c>
      <c r="D19" s="35" t="s">
        <v>169</v>
      </c>
      <c r="E19" s="35" t="s">
        <v>168</v>
      </c>
      <c r="F19" s="35" t="s">
        <v>167</v>
      </c>
      <c r="G19" s="35" t="s">
        <v>169</v>
      </c>
      <c r="H19" s="35" t="s">
        <v>174</v>
      </c>
      <c r="J19" s="228"/>
      <c r="K19" s="101" t="s">
        <v>153</v>
      </c>
      <c r="L19" s="102">
        <f t="shared" si="3"/>
        <v>2</v>
      </c>
      <c r="M19" s="106">
        <f t="shared" si="4"/>
        <v>12</v>
      </c>
      <c r="N19" s="231"/>
    </row>
    <row r="20" spans="1:14" ht="16.5" customHeight="1">
      <c r="A20" s="35" t="s">
        <v>155</v>
      </c>
      <c r="B20" s="35" t="s">
        <v>166</v>
      </c>
      <c r="C20" s="35" t="s">
        <v>167</v>
      </c>
      <c r="D20" s="35" t="s">
        <v>168</v>
      </c>
      <c r="E20" s="35" t="s">
        <v>169</v>
      </c>
      <c r="F20" s="35" t="s">
        <v>168</v>
      </c>
      <c r="G20" s="35" t="s">
        <v>169</v>
      </c>
      <c r="H20" s="35" t="s">
        <v>175</v>
      </c>
      <c r="J20" s="228"/>
      <c r="K20" s="101" t="s">
        <v>155</v>
      </c>
      <c r="L20" s="102">
        <f t="shared" si="3"/>
        <v>2</v>
      </c>
      <c r="M20" s="106">
        <f t="shared" si="4"/>
        <v>14</v>
      </c>
      <c r="N20" s="231"/>
    </row>
    <row r="21" spans="1:14" ht="16.5" customHeight="1">
      <c r="A21" s="35" t="s">
        <v>157</v>
      </c>
      <c r="B21" s="35" t="s">
        <v>168</v>
      </c>
      <c r="C21" s="35" t="s">
        <v>166</v>
      </c>
      <c r="D21" s="35" t="s">
        <v>167</v>
      </c>
      <c r="E21" s="35" t="s">
        <v>169</v>
      </c>
      <c r="F21" s="35" t="s">
        <v>168</v>
      </c>
      <c r="G21" s="35" t="s">
        <v>169</v>
      </c>
      <c r="H21" s="35" t="s">
        <v>176</v>
      </c>
      <c r="J21" s="229"/>
      <c r="K21" s="103" t="s">
        <v>157</v>
      </c>
      <c r="L21" s="104">
        <f t="shared" si="3"/>
        <v>2</v>
      </c>
      <c r="M21" s="107">
        <f t="shared" si="4"/>
        <v>14</v>
      </c>
      <c r="N21" s="232"/>
    </row>
    <row r="24" spans="1:14" ht="15.75">
      <c r="A24" s="140" t="s">
        <v>142</v>
      </c>
      <c r="B24" s="222" t="s">
        <v>111</v>
      </c>
      <c r="C24" s="223"/>
      <c r="D24" s="62"/>
      <c r="E24" s="224" t="s">
        <v>177</v>
      </c>
      <c r="F24" s="225"/>
      <c r="G24" s="225"/>
      <c r="H24" s="226"/>
    </row>
    <row r="25" spans="1:14">
      <c r="A25" s="62"/>
      <c r="B25" s="62"/>
      <c r="C25" s="62"/>
      <c r="D25" s="62"/>
      <c r="E25" s="62"/>
      <c r="F25" s="62"/>
    </row>
    <row r="27" spans="1:14" ht="13.5" customHeight="1">
      <c r="A27" s="137" t="s">
        <v>138</v>
      </c>
      <c r="B27" s="138" t="s">
        <v>139</v>
      </c>
      <c r="C27" s="138" t="s">
        <v>140</v>
      </c>
      <c r="D27" s="138" t="s">
        <v>141</v>
      </c>
      <c r="E27" s="138" t="s">
        <v>142</v>
      </c>
    </row>
    <row r="28" spans="1:14">
      <c r="A28" s="139" t="str" cm="1">
        <f t="array" ref="A28:E29">_xlfn._xlws.FILTER(J5:N15,N5:N15=B24,0)</f>
        <v>Ravi Singh</v>
      </c>
      <c r="B28" s="139">
        <v>20</v>
      </c>
      <c r="C28" s="139">
        <v>13</v>
      </c>
      <c r="D28" s="139">
        <v>7</v>
      </c>
      <c r="E28" s="139" t="str">
        <v>Spatial Analysis</v>
      </c>
    </row>
    <row r="29" spans="1:14" ht="15.75" customHeight="1">
      <c r="A29" s="139" t="str">
        <v>Ravi Singh</v>
      </c>
      <c r="B29" s="139">
        <v>20</v>
      </c>
      <c r="C29" s="139">
        <v>13</v>
      </c>
      <c r="D29" s="139">
        <v>7</v>
      </c>
      <c r="E29" s="139" t="str">
        <v>Spatial Analysis</v>
      </c>
    </row>
    <row r="30" spans="1:14" ht="15.75" customHeight="1">
      <c r="A30" s="139"/>
      <c r="B30" s="139"/>
      <c r="C30" s="139"/>
      <c r="D30" s="139"/>
      <c r="E30" s="139"/>
    </row>
    <row r="31" spans="1:14" ht="15.75" customHeight="1">
      <c r="A31" s="139"/>
      <c r="B31" s="139"/>
      <c r="C31" s="139"/>
      <c r="D31" s="139"/>
      <c r="E31" s="139"/>
    </row>
    <row r="32" spans="1:14">
      <c r="A32" s="139"/>
      <c r="B32" s="139"/>
      <c r="C32" s="139"/>
      <c r="D32" s="139"/>
      <c r="E32" s="139"/>
    </row>
    <row r="33" spans="1:5">
      <c r="A33" s="139"/>
      <c r="B33" s="139"/>
      <c r="C33" s="139"/>
      <c r="D33" s="139"/>
      <c r="E33" s="139"/>
    </row>
    <row r="34" spans="1:5">
      <c r="A34" s="139"/>
      <c r="B34" s="139"/>
      <c r="C34" s="139"/>
      <c r="D34" s="139"/>
      <c r="E34" s="139"/>
    </row>
    <row r="35" spans="1:5">
      <c r="A35" s="139"/>
      <c r="B35" s="139"/>
      <c r="C35" s="139"/>
      <c r="D35" s="139"/>
      <c r="E35" s="139"/>
    </row>
    <row r="36" spans="1:5">
      <c r="A36" s="139"/>
      <c r="B36" s="139"/>
      <c r="C36" s="139"/>
      <c r="D36" s="139"/>
      <c r="E36" s="139"/>
    </row>
    <row r="37" spans="1:5">
      <c r="A37" s="139"/>
      <c r="B37" s="139"/>
      <c r="C37" s="139"/>
      <c r="D37" s="139"/>
      <c r="E37" s="139"/>
    </row>
    <row r="38" spans="1:5">
      <c r="A38" s="139"/>
      <c r="B38" s="139"/>
      <c r="C38" s="139"/>
      <c r="D38" s="139"/>
      <c r="E38" s="139"/>
    </row>
    <row r="39" spans="1:5">
      <c r="A39" s="139"/>
      <c r="B39" s="139"/>
      <c r="C39" s="139"/>
      <c r="D39" s="139"/>
      <c r="E39" s="139"/>
    </row>
    <row r="40" spans="1:5">
      <c r="A40" s="139"/>
      <c r="B40" s="139"/>
      <c r="C40" s="139"/>
      <c r="D40" s="139"/>
      <c r="E40" s="139"/>
    </row>
    <row r="41" spans="1:5">
      <c r="A41" s="139"/>
      <c r="B41" s="139"/>
      <c r="C41" s="139"/>
      <c r="D41" s="139"/>
      <c r="E41" s="139"/>
    </row>
    <row r="42" spans="1:5">
      <c r="A42" s="139"/>
      <c r="B42" s="139"/>
      <c r="C42" s="139"/>
      <c r="D42" s="139"/>
      <c r="E42" s="139"/>
    </row>
  </sheetData>
  <mergeCells count="10">
    <mergeCell ref="B24:C24"/>
    <mergeCell ref="E24:H24"/>
    <mergeCell ref="J16:J21"/>
    <mergeCell ref="N16:N21"/>
    <mergeCell ref="J1:N2"/>
    <mergeCell ref="J3:N3"/>
    <mergeCell ref="A14:H14"/>
    <mergeCell ref="A1:H1"/>
    <mergeCell ref="A2:H2"/>
    <mergeCell ref="A4:H4"/>
  </mergeCells>
  <dataValidations count="1">
    <dataValidation type="list" allowBlank="1" showInputMessage="1" showErrorMessage="1" sqref="B24" xr:uid="{C7944A9B-C97A-4303-8A23-5175A6B0354C}">
      <formula1>$N$5:$N$11</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C187F-37C3-446F-992E-E4CE30F6C989}">
  <sheetPr>
    <tabColor rgb="FFE8B5B5"/>
  </sheetPr>
  <dimension ref="A1:H31"/>
  <sheetViews>
    <sheetView workbookViewId="0">
      <selection activeCell="B5" sqref="B5"/>
    </sheetView>
  </sheetViews>
  <sheetFormatPr defaultRowHeight="15"/>
  <cols>
    <col min="1" max="1" width="21" customWidth="1"/>
    <col min="2" max="2" width="39.140625" customWidth="1"/>
    <col min="3" max="3" width="8.85546875" customWidth="1"/>
    <col min="4" max="4" width="18.140625" customWidth="1"/>
    <col min="5" max="5" width="23" customWidth="1"/>
    <col min="6" max="8" width="18.140625" customWidth="1"/>
  </cols>
  <sheetData>
    <row r="1" spans="1:8" ht="23.25">
      <c r="A1" s="167" t="s">
        <v>178</v>
      </c>
      <c r="B1" s="167"/>
      <c r="C1" s="167"/>
      <c r="D1" s="167"/>
      <c r="E1" s="167"/>
      <c r="F1" s="167"/>
      <c r="G1" s="167"/>
      <c r="H1" s="167"/>
    </row>
    <row r="2" spans="1:8">
      <c r="A2" s="236" t="s">
        <v>179</v>
      </c>
      <c r="B2" s="236"/>
      <c r="C2" s="236"/>
      <c r="D2" s="236"/>
      <c r="E2" s="236"/>
      <c r="F2" s="236"/>
      <c r="G2" s="236"/>
      <c r="H2" s="236"/>
    </row>
    <row r="4" spans="1:8">
      <c r="A4" s="214" t="s">
        <v>180</v>
      </c>
      <c r="B4" s="237"/>
      <c r="D4" s="214" t="s">
        <v>181</v>
      </c>
      <c r="E4" s="215"/>
      <c r="F4" s="238"/>
      <c r="G4" s="238"/>
      <c r="H4" s="237"/>
    </row>
    <row r="5" spans="1:8" ht="15.75">
      <c r="A5" s="123" t="s">
        <v>182</v>
      </c>
      <c r="B5" s="130" t="s">
        <v>183</v>
      </c>
      <c r="D5" s="135" t="s">
        <v>40</v>
      </c>
      <c r="E5" s="136" t="s">
        <v>43</v>
      </c>
      <c r="F5" s="48"/>
      <c r="G5" s="48"/>
      <c r="H5" s="48"/>
    </row>
    <row r="6" spans="1:8">
      <c r="A6" s="128" t="s">
        <v>129</v>
      </c>
      <c r="B6" s="124" t="str">
        <f>_xlfn.XLOOKUP(B5,tblProjects[Project ID],tblProjects[Project Name],"Not found")</f>
        <v>North Asset Mapping 01</v>
      </c>
    </row>
    <row r="7" spans="1:8">
      <c r="A7" s="128" t="s">
        <v>143</v>
      </c>
      <c r="B7" s="125" t="str">
        <f>_xlfn.XLOOKUP(B5,tblProjects[Project ID],tblProjects[Manager],"Not found")</f>
        <v>Ravi Singh</v>
      </c>
      <c r="D7" s="120" t="s">
        <v>128</v>
      </c>
      <c r="E7" s="121" t="s">
        <v>129</v>
      </c>
      <c r="F7" s="121" t="s">
        <v>40</v>
      </c>
      <c r="G7" s="121" t="s">
        <v>143</v>
      </c>
      <c r="H7" s="122" t="s">
        <v>38</v>
      </c>
    </row>
    <row r="8" spans="1:8">
      <c r="A8" s="128" t="s">
        <v>38</v>
      </c>
      <c r="B8" s="125" t="str">
        <f>_xlfn.XLOOKUP(B5,tblProjects[Project ID],tblProjects[Status],"Not found")</f>
        <v>Active</v>
      </c>
      <c r="D8" s="112" t="str" cm="1">
        <f t="array" ref="D8:H31">_xlfn._xlws.FILTER(_xlfn.CHOOSECOLS(tblProjects[],1,2,6,9,10),tblProjects[Region]=E5,"No matches")</f>
        <v>GIS-001</v>
      </c>
      <c r="E8" s="113" t="str">
        <v>North Asset Mapping 01</v>
      </c>
      <c r="F8" s="113" t="str">
        <v>North</v>
      </c>
      <c r="G8" s="113" t="str">
        <v>Ravi Singh</v>
      </c>
      <c r="H8" s="114" t="str">
        <v>Active</v>
      </c>
    </row>
    <row r="9" spans="1:8">
      <c r="A9" s="128" t="s">
        <v>61</v>
      </c>
      <c r="B9" s="126">
        <f>_xlfn.XLOOKUP(B5,tblProjects[Project ID],tblProjects[Budget],0)</f>
        <v>55000</v>
      </c>
      <c r="D9" s="115" t="str">
        <v>GIS-006</v>
      </c>
      <c r="E9" s="111" t="str">
        <v>North Asset Mapping 06</v>
      </c>
      <c r="F9" s="111" t="str">
        <v>North</v>
      </c>
      <c r="G9" s="111" t="str">
        <v>Meera Shah</v>
      </c>
      <c r="H9" s="116" t="str">
        <v>On Hold</v>
      </c>
    </row>
    <row r="10" spans="1:8">
      <c r="A10" s="128" t="s">
        <v>62</v>
      </c>
      <c r="B10" s="126">
        <f>_xlfn.XLOOKUP(B5,tblProjects[Project ID],tblProjects[Actual Cost],0)</f>
        <v>45100</v>
      </c>
      <c r="D10" s="115" t="str">
        <v>GIS-011</v>
      </c>
      <c r="E10" s="111" t="str">
        <v>North Asset Mapping 11</v>
      </c>
      <c r="F10" s="111" t="str">
        <v>North</v>
      </c>
      <c r="G10" s="111" t="str">
        <v>Daniel Lee</v>
      </c>
      <c r="H10" s="116" t="str">
        <v>On Hold</v>
      </c>
    </row>
    <row r="11" spans="1:8">
      <c r="A11" s="128" t="s">
        <v>184</v>
      </c>
      <c r="B11" s="126">
        <f>B10-B9</f>
        <v>-9900</v>
      </c>
      <c r="D11" s="115" t="str">
        <v>GIS-016</v>
      </c>
      <c r="E11" s="111" t="str">
        <v>North Asset Mapping 16</v>
      </c>
      <c r="F11" s="111" t="str">
        <v>North</v>
      </c>
      <c r="G11" s="111" t="str">
        <v>Fatima Khan</v>
      </c>
      <c r="H11" s="116" t="str">
        <v>At Risk</v>
      </c>
    </row>
    <row r="12" spans="1:8">
      <c r="A12" s="129" t="s">
        <v>185</v>
      </c>
      <c r="B12" s="127" t="str" cm="1">
        <f t="array" ref="B12">_xlfn.LET(_xlpm.r,_xlfn.XLOOKUP(B5,tblProjects[Project ID],tblProjects[Risk Score],0),IF(_xlpm.r&gt;=7,"HIGH",IF(_xlpm.r&gt;=4,"MEDIUM","LOW")))</f>
        <v>LOW</v>
      </c>
      <c r="D12" s="115" t="str">
        <v>GIS-021</v>
      </c>
      <c r="E12" s="111" t="str">
        <v>North Asset Mapping 21</v>
      </c>
      <c r="F12" s="111" t="str">
        <v>North</v>
      </c>
      <c r="G12" s="111" t="str">
        <v>Naman Kumar</v>
      </c>
      <c r="H12" s="116" t="str">
        <v>At Risk</v>
      </c>
    </row>
    <row r="13" spans="1:8">
      <c r="D13" s="115" t="str">
        <v>GIS-026</v>
      </c>
      <c r="E13" s="111" t="str">
        <v>North Asset Mapping 26</v>
      </c>
      <c r="F13" s="111" t="str">
        <v>North</v>
      </c>
      <c r="G13" s="111" t="str">
        <v>Aisha Patel</v>
      </c>
      <c r="H13" s="116" t="str">
        <v>Complete</v>
      </c>
    </row>
    <row r="14" spans="1:8">
      <c r="D14" s="115" t="str">
        <v>GIS-031</v>
      </c>
      <c r="E14" s="111" t="str">
        <v>North Asset Mapping 31</v>
      </c>
      <c r="F14" s="111" t="str">
        <v>North</v>
      </c>
      <c r="G14" s="111" t="str">
        <v>Ravi Singh</v>
      </c>
      <c r="H14" s="116" t="str">
        <v>Complete</v>
      </c>
    </row>
    <row r="15" spans="1:8">
      <c r="A15" s="214" t="s">
        <v>186</v>
      </c>
      <c r="B15" s="216"/>
      <c r="D15" s="115" t="str">
        <v>GIS-036</v>
      </c>
      <c r="E15" s="111" t="str">
        <v>North Asset Mapping 36</v>
      </c>
      <c r="F15" s="111" t="str">
        <v>North</v>
      </c>
      <c r="G15" s="111" t="str">
        <v>Meera Shah</v>
      </c>
      <c r="H15" s="116" t="str">
        <v>Active</v>
      </c>
    </row>
    <row r="16" spans="1:8" ht="14.25" customHeight="1">
      <c r="A16" s="131" t="s">
        <v>187</v>
      </c>
      <c r="B16" s="132" t="s">
        <v>188</v>
      </c>
      <c r="D16" s="115" t="str">
        <v>GIS-041</v>
      </c>
      <c r="E16" s="111" t="str">
        <v>North Asset Mapping 41</v>
      </c>
      <c r="F16" s="111" t="str">
        <v>North</v>
      </c>
      <c r="G16" s="111" t="str">
        <v>Daniel Lee</v>
      </c>
      <c r="H16" s="116" t="str">
        <v>Active</v>
      </c>
    </row>
    <row r="17" spans="1:8" ht="14.25" customHeight="1">
      <c r="A17" s="128" t="s">
        <v>189</v>
      </c>
      <c r="B17" s="133" t="s">
        <v>190</v>
      </c>
      <c r="D17" s="115" t="str">
        <v>GIS-046</v>
      </c>
      <c r="E17" s="111" t="str">
        <v>North Asset Mapping 46</v>
      </c>
      <c r="F17" s="111" t="str">
        <v>North</v>
      </c>
      <c r="G17" s="111" t="str">
        <v>Fatima Khan</v>
      </c>
      <c r="H17" s="116" t="str">
        <v>Active</v>
      </c>
    </row>
    <row r="18" spans="1:8" ht="14.25" customHeight="1">
      <c r="A18" s="128" t="s">
        <v>191</v>
      </c>
      <c r="B18" s="133" t="s">
        <v>192</v>
      </c>
      <c r="D18" s="115" t="str">
        <v>GIS-051</v>
      </c>
      <c r="E18" s="111" t="str">
        <v>North Asset Mapping 51</v>
      </c>
      <c r="F18" s="111" t="str">
        <v>North</v>
      </c>
      <c r="G18" s="111" t="str">
        <v>Naman Kumar</v>
      </c>
      <c r="H18" s="116" t="str">
        <v>On Hold</v>
      </c>
    </row>
    <row r="19" spans="1:8" ht="14.25" customHeight="1">
      <c r="A19" s="128" t="s">
        <v>193</v>
      </c>
      <c r="B19" s="133" t="s">
        <v>194</v>
      </c>
      <c r="D19" s="115" t="str">
        <v>GIS-056</v>
      </c>
      <c r="E19" s="111" t="str">
        <v>North Asset Mapping 56</v>
      </c>
      <c r="F19" s="111" t="str">
        <v>North</v>
      </c>
      <c r="G19" s="111" t="str">
        <v>Aisha Patel</v>
      </c>
      <c r="H19" s="116" t="str">
        <v>On Hold</v>
      </c>
    </row>
    <row r="20" spans="1:8" ht="14.25" customHeight="1">
      <c r="A20" s="128" t="s">
        <v>195</v>
      </c>
      <c r="B20" s="133" t="s">
        <v>196</v>
      </c>
      <c r="D20" s="115" t="str">
        <v>GIS-061</v>
      </c>
      <c r="E20" s="111" t="str">
        <v>North Asset Mapping 61</v>
      </c>
      <c r="F20" s="111" t="str">
        <v>North</v>
      </c>
      <c r="G20" s="111" t="str">
        <v>Ravi Singh</v>
      </c>
      <c r="H20" s="116" t="str">
        <v>At Risk</v>
      </c>
    </row>
    <row r="21" spans="1:8" ht="14.25" customHeight="1">
      <c r="A21" s="128" t="s">
        <v>197</v>
      </c>
      <c r="B21" s="133" t="s">
        <v>198</v>
      </c>
      <c r="D21" s="115" t="str">
        <v>GIS-066</v>
      </c>
      <c r="E21" s="111" t="str">
        <v>North Asset Mapping 66</v>
      </c>
      <c r="F21" s="111" t="str">
        <v>North</v>
      </c>
      <c r="G21" s="111" t="str">
        <v>Meera Shah</v>
      </c>
      <c r="H21" s="116" t="str">
        <v>At Risk</v>
      </c>
    </row>
    <row r="22" spans="1:8" ht="14.25" customHeight="1">
      <c r="A22" s="128" t="s">
        <v>199</v>
      </c>
      <c r="B22" s="133" t="s">
        <v>200</v>
      </c>
      <c r="D22" s="115" t="str">
        <v>GIS-071</v>
      </c>
      <c r="E22" s="111" t="str">
        <v>North Asset Mapping 71</v>
      </c>
      <c r="F22" s="111" t="str">
        <v>North</v>
      </c>
      <c r="G22" s="111" t="str">
        <v>Daniel Lee</v>
      </c>
      <c r="H22" s="116" t="str">
        <v>Complete</v>
      </c>
    </row>
    <row r="23" spans="1:8" ht="14.25" customHeight="1">
      <c r="A23" s="129"/>
      <c r="B23" s="134"/>
      <c r="D23" s="115" t="str">
        <v>GIS-076</v>
      </c>
      <c r="E23" s="111" t="str">
        <v>North Asset Mapping 76</v>
      </c>
      <c r="F23" s="111" t="str">
        <v>North</v>
      </c>
      <c r="G23" s="111" t="str">
        <v>Fatima Khan</v>
      </c>
      <c r="H23" s="116" t="str">
        <v>Complete</v>
      </c>
    </row>
    <row r="24" spans="1:8">
      <c r="D24" s="115" t="str">
        <v>GIS-081</v>
      </c>
      <c r="E24" s="111" t="str">
        <v>North Asset Mapping 81</v>
      </c>
      <c r="F24" s="111" t="str">
        <v>North</v>
      </c>
      <c r="G24" s="111" t="str">
        <v>Naman Kumar</v>
      </c>
      <c r="H24" s="116" t="str">
        <v>Active</v>
      </c>
    </row>
    <row r="25" spans="1:8">
      <c r="D25" s="115" t="str">
        <v>GIS-086</v>
      </c>
      <c r="E25" s="111" t="str">
        <v>North Asset Mapping 86</v>
      </c>
      <c r="F25" s="111" t="str">
        <v>North</v>
      </c>
      <c r="G25" s="111" t="str">
        <v>Aisha Patel</v>
      </c>
      <c r="H25" s="116" t="str">
        <v>Active</v>
      </c>
    </row>
    <row r="26" spans="1:8">
      <c r="D26" s="115" t="str">
        <v>GIS-091</v>
      </c>
      <c r="E26" s="111" t="str">
        <v>North Asset Mapping 91</v>
      </c>
      <c r="F26" s="111" t="str">
        <v>North</v>
      </c>
      <c r="G26" s="111" t="str">
        <v>Ravi Singh</v>
      </c>
      <c r="H26" s="116" t="str">
        <v>Active</v>
      </c>
    </row>
    <row r="27" spans="1:8">
      <c r="D27" s="115" t="str">
        <v>GIS-096</v>
      </c>
      <c r="E27" s="111" t="str">
        <v>North Asset Mapping 96</v>
      </c>
      <c r="F27" s="111" t="str">
        <v>North</v>
      </c>
      <c r="G27" s="111" t="str">
        <v>Meera Shah</v>
      </c>
      <c r="H27" s="116" t="str">
        <v>On Hold</v>
      </c>
    </row>
    <row r="28" spans="1:8">
      <c r="D28" s="115" t="str">
        <v>GIS-101</v>
      </c>
      <c r="E28" s="111" t="str">
        <v>North Asset Mapping 101</v>
      </c>
      <c r="F28" s="111" t="str">
        <v>North</v>
      </c>
      <c r="G28" s="111" t="str">
        <v>Daniel Lee</v>
      </c>
      <c r="H28" s="116" t="str">
        <v>On Hold</v>
      </c>
    </row>
    <row r="29" spans="1:8">
      <c r="D29" s="115" t="str">
        <v>GIS-106</v>
      </c>
      <c r="E29" s="111" t="str">
        <v>North Asset Mapping 106</v>
      </c>
      <c r="F29" s="111" t="str">
        <v>North</v>
      </c>
      <c r="G29" s="111" t="str">
        <v>Fatima Khan</v>
      </c>
      <c r="H29" s="116" t="str">
        <v>At Risk</v>
      </c>
    </row>
    <row r="30" spans="1:8">
      <c r="D30" s="115" t="str">
        <v>GIS-111</v>
      </c>
      <c r="E30" s="111" t="str">
        <v>North Asset Mapping 111</v>
      </c>
      <c r="F30" s="111" t="str">
        <v>North</v>
      </c>
      <c r="G30" s="111" t="str">
        <v>Naman Kumar</v>
      </c>
      <c r="H30" s="116" t="str">
        <v>At Risk</v>
      </c>
    </row>
    <row r="31" spans="1:8">
      <c r="D31" s="117" t="str">
        <v>GIS-116</v>
      </c>
      <c r="E31" s="118" t="str">
        <v>North Asset Mapping 116</v>
      </c>
      <c r="F31" s="118" t="str">
        <v>North</v>
      </c>
      <c r="G31" s="118" t="str">
        <v>Aisha Patel</v>
      </c>
      <c r="H31" s="119" t="str">
        <v>Complete</v>
      </c>
    </row>
  </sheetData>
  <mergeCells count="5">
    <mergeCell ref="A1:H1"/>
    <mergeCell ref="A2:H2"/>
    <mergeCell ref="A4:B4"/>
    <mergeCell ref="D4:H4"/>
    <mergeCell ref="A15:B15"/>
  </mergeCells>
  <dataValidations count="1">
    <dataValidation type="list" allowBlank="1" showInputMessage="1" showErrorMessage="1" sqref="E5" xr:uid="{BFFCD109-7247-48C3-95B5-C6EEF512521C}">
      <formula1>"North,South,East,West,Central"</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024FD59-7718-48EF-84B8-03D9A3520D80}">
          <x14:formula1>
            <xm:f>'GIS Project Data'!$A$2:$A$121</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A3E7-A3BF-45C7-9B07-54267B8E95D0}">
  <sheetPr>
    <tabColor rgb="FF7030A0"/>
  </sheetPr>
  <dimension ref="A1:K18"/>
  <sheetViews>
    <sheetView workbookViewId="0">
      <selection activeCell="K19" sqref="K19"/>
    </sheetView>
  </sheetViews>
  <sheetFormatPr defaultRowHeight="15"/>
  <cols>
    <col min="1" max="1" width="12" style="89" customWidth="1"/>
    <col min="2" max="2" width="18.140625" style="89" customWidth="1"/>
    <col min="3" max="3" width="21.5703125" style="89" customWidth="1"/>
    <col min="4" max="4" width="18.140625" style="89" customWidth="1"/>
    <col min="5" max="5" width="21.5703125" style="89" customWidth="1"/>
    <col min="6" max="6" width="18.140625" style="89" customWidth="1"/>
    <col min="7" max="7" width="21.5703125" style="89" customWidth="1"/>
    <col min="8" max="8" width="18.140625" style="89" customWidth="1"/>
    <col min="9" max="9" width="21.5703125" style="89" customWidth="1"/>
    <col min="10" max="10" width="23.28515625" style="89" customWidth="1"/>
    <col min="11" max="11" width="26.7109375" style="89" customWidth="1"/>
    <col min="12" max="16384" width="9.140625" style="89"/>
  </cols>
  <sheetData>
    <row r="1" spans="1:11" ht="23.25">
      <c r="A1" s="239" t="s">
        <v>201</v>
      </c>
      <c r="B1" s="239"/>
      <c r="C1" s="239"/>
      <c r="D1" s="239"/>
      <c r="E1" s="239"/>
      <c r="F1" s="239"/>
      <c r="G1" s="239"/>
      <c r="H1" s="239"/>
      <c r="I1" s="239"/>
      <c r="J1" s="239"/>
      <c r="K1" s="239"/>
    </row>
    <row r="2" spans="1:11">
      <c r="A2" s="240" t="s">
        <v>202</v>
      </c>
      <c r="B2" s="241"/>
      <c r="C2" s="241"/>
      <c r="D2" s="241"/>
      <c r="E2" s="241"/>
      <c r="F2" s="241"/>
      <c r="G2" s="241"/>
      <c r="H2" s="241"/>
      <c r="I2" s="241"/>
      <c r="J2" s="241"/>
      <c r="K2" s="242"/>
    </row>
    <row r="4" spans="1:11">
      <c r="A4" s="93" t="s">
        <v>203</v>
      </c>
      <c r="B4" s="92" t="s">
        <v>204</v>
      </c>
    </row>
    <row r="6" spans="1:11">
      <c r="A6" s="71"/>
      <c r="B6" s="71" t="s">
        <v>38</v>
      </c>
      <c r="C6" s="71" t="s">
        <v>205</v>
      </c>
      <c r="D6" s="71"/>
      <c r="E6" s="71"/>
      <c r="F6" s="71"/>
      <c r="G6" s="71"/>
      <c r="H6" s="71"/>
      <c r="I6" s="71"/>
      <c r="J6" s="71"/>
      <c r="K6" s="71"/>
    </row>
    <row r="7" spans="1:11">
      <c r="A7" s="71"/>
      <c r="B7" s="71" t="s">
        <v>42</v>
      </c>
      <c r="C7" s="71" t="s">
        <v>42</v>
      </c>
      <c r="D7" s="71" t="s">
        <v>48</v>
      </c>
      <c r="E7" s="71" t="s">
        <v>48</v>
      </c>
      <c r="F7" s="71" t="s">
        <v>46</v>
      </c>
      <c r="G7" s="71" t="s">
        <v>46</v>
      </c>
      <c r="H7" s="71" t="s">
        <v>45</v>
      </c>
      <c r="I7" s="71" t="s">
        <v>45</v>
      </c>
      <c r="J7" s="71" t="s">
        <v>206</v>
      </c>
      <c r="K7" s="71" t="s">
        <v>207</v>
      </c>
    </row>
    <row r="8" spans="1:11">
      <c r="A8" s="90" t="s">
        <v>40</v>
      </c>
      <c r="B8" s="90" t="s">
        <v>208</v>
      </c>
      <c r="C8" s="90" t="s">
        <v>209</v>
      </c>
      <c r="D8" s="90" t="s">
        <v>208</v>
      </c>
      <c r="E8" s="90" t="s">
        <v>209</v>
      </c>
      <c r="F8" s="90" t="s">
        <v>208</v>
      </c>
      <c r="G8" s="90" t="s">
        <v>209</v>
      </c>
      <c r="H8" s="90" t="s">
        <v>208</v>
      </c>
      <c r="I8" s="90" t="s">
        <v>209</v>
      </c>
      <c r="J8" s="90"/>
      <c r="K8" s="90"/>
    </row>
    <row r="9" spans="1:11">
      <c r="A9" s="74" t="s">
        <v>55</v>
      </c>
      <c r="B9" s="94">
        <v>1210360</v>
      </c>
      <c r="C9" s="94">
        <v>1652536</v>
      </c>
      <c r="D9" s="94">
        <v>866437</v>
      </c>
      <c r="E9" s="94">
        <v>1261541</v>
      </c>
      <c r="F9" s="94">
        <v>954979</v>
      </c>
      <c r="G9" s="94">
        <v>1359394</v>
      </c>
      <c r="H9" s="94">
        <v>1152783</v>
      </c>
      <c r="I9" s="94">
        <v>1667326</v>
      </c>
      <c r="J9" s="94">
        <v>4184559</v>
      </c>
      <c r="K9" s="94">
        <v>5940797</v>
      </c>
    </row>
    <row r="10" spans="1:11">
      <c r="A10" s="74" t="s">
        <v>49</v>
      </c>
      <c r="B10" s="94">
        <v>1679335</v>
      </c>
      <c r="C10" s="94">
        <v>2319795</v>
      </c>
      <c r="D10" s="94">
        <v>826265</v>
      </c>
      <c r="E10" s="94">
        <v>1194964</v>
      </c>
      <c r="F10" s="94">
        <v>1022962</v>
      </c>
      <c r="G10" s="94">
        <v>1482343</v>
      </c>
      <c r="H10" s="94">
        <v>703015</v>
      </c>
      <c r="I10" s="94">
        <v>1037319</v>
      </c>
      <c r="J10" s="94">
        <v>4231577</v>
      </c>
      <c r="K10" s="94">
        <v>6034421</v>
      </c>
    </row>
    <row r="11" spans="1:11">
      <c r="A11" s="74" t="s">
        <v>43</v>
      </c>
      <c r="B11" s="94">
        <v>947750</v>
      </c>
      <c r="C11" s="94">
        <v>1246595</v>
      </c>
      <c r="D11" s="94">
        <v>974816</v>
      </c>
      <c r="E11" s="94">
        <v>1366785</v>
      </c>
      <c r="F11" s="94">
        <v>873280</v>
      </c>
      <c r="G11" s="94">
        <v>1194266</v>
      </c>
      <c r="H11" s="94">
        <v>1128880</v>
      </c>
      <c r="I11" s="94">
        <v>1604813</v>
      </c>
      <c r="J11" s="94">
        <v>3924726</v>
      </c>
      <c r="K11" s="94">
        <v>5412459</v>
      </c>
    </row>
    <row r="12" spans="1:11">
      <c r="A12" s="74" t="s">
        <v>47</v>
      </c>
      <c r="B12" s="94">
        <v>1133905</v>
      </c>
      <c r="C12" s="94">
        <v>1610795</v>
      </c>
      <c r="D12" s="94">
        <v>1334633</v>
      </c>
      <c r="E12" s="94">
        <v>1879630</v>
      </c>
      <c r="F12" s="94">
        <v>969306</v>
      </c>
      <c r="G12" s="94">
        <v>1380805</v>
      </c>
      <c r="H12" s="94">
        <v>705315</v>
      </c>
      <c r="I12" s="94">
        <v>1021268</v>
      </c>
      <c r="J12" s="94">
        <v>4143159</v>
      </c>
      <c r="K12" s="94">
        <v>5892498</v>
      </c>
    </row>
    <row r="13" spans="1:11">
      <c r="A13" s="74" t="s">
        <v>54</v>
      </c>
      <c r="B13" s="94">
        <v>1743214</v>
      </c>
      <c r="C13" s="94">
        <v>2531009</v>
      </c>
      <c r="D13" s="94">
        <v>773116</v>
      </c>
      <c r="E13" s="94">
        <v>1100781</v>
      </c>
      <c r="F13" s="94">
        <v>665125</v>
      </c>
      <c r="G13" s="94">
        <v>880328</v>
      </c>
      <c r="H13" s="94">
        <v>1111299</v>
      </c>
      <c r="I13" s="94">
        <v>1548552</v>
      </c>
      <c r="J13" s="94">
        <v>4292754</v>
      </c>
      <c r="K13" s="94">
        <v>6060670</v>
      </c>
    </row>
    <row r="14" spans="1:11">
      <c r="A14" s="89" t="s">
        <v>210</v>
      </c>
      <c r="B14" s="91">
        <v>6714564</v>
      </c>
      <c r="C14" s="91">
        <v>9360730</v>
      </c>
      <c r="D14" s="91">
        <v>4775267</v>
      </c>
      <c r="E14" s="91">
        <v>6803701</v>
      </c>
      <c r="F14" s="91">
        <v>4485652</v>
      </c>
      <c r="G14" s="91">
        <v>6297136</v>
      </c>
      <c r="H14" s="91">
        <v>4801292</v>
      </c>
      <c r="I14" s="91">
        <v>6879278</v>
      </c>
      <c r="J14" s="91">
        <v>20776775</v>
      </c>
      <c r="K14" s="91">
        <v>29340845</v>
      </c>
    </row>
    <row r="18" spans="1:7">
      <c r="A18" s="243" t="s">
        <v>211</v>
      </c>
      <c r="B18" s="243"/>
      <c r="C18" s="243"/>
      <c r="E18" s="243" t="s">
        <v>212</v>
      </c>
      <c r="F18" s="243"/>
      <c r="G18" s="243"/>
    </row>
  </sheetData>
  <mergeCells count="4">
    <mergeCell ref="A1:K1"/>
    <mergeCell ref="A2:K2"/>
    <mergeCell ref="A18:C18"/>
    <mergeCell ref="E18:G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A854-E856-4E64-83B1-551C5F6EF14F}">
  <sheetPr>
    <tabColor rgb="FFEAC5FC"/>
  </sheetPr>
  <dimension ref="A1:L14"/>
  <sheetViews>
    <sheetView workbookViewId="0">
      <selection activeCell="G44" sqref="G44"/>
    </sheetView>
  </sheetViews>
  <sheetFormatPr defaultRowHeight="15"/>
  <cols>
    <col min="1" max="12" width="12.42578125" style="17" customWidth="1"/>
    <col min="13" max="16384" width="9.140625" style="17"/>
  </cols>
  <sheetData>
    <row r="1" spans="1:12" ht="23.25">
      <c r="A1" s="244" t="s">
        <v>213</v>
      </c>
      <c r="B1" s="244"/>
      <c r="C1" s="244"/>
      <c r="D1" s="244"/>
      <c r="E1" s="244"/>
      <c r="F1" s="244"/>
      <c r="G1" s="244"/>
      <c r="H1" s="244"/>
      <c r="I1" s="244"/>
      <c r="J1" s="244"/>
      <c r="K1" s="244"/>
      <c r="L1" s="244"/>
    </row>
    <row r="2" spans="1:12">
      <c r="A2" s="245" t="s">
        <v>214</v>
      </c>
      <c r="B2" s="245"/>
      <c r="C2" s="245"/>
      <c r="D2" s="245"/>
      <c r="E2" s="245"/>
      <c r="F2" s="245"/>
      <c r="G2" s="245"/>
      <c r="H2" s="245"/>
      <c r="I2" s="245"/>
      <c r="J2" s="245"/>
      <c r="K2" s="245"/>
      <c r="L2" s="245"/>
    </row>
    <row r="4" spans="1:12">
      <c r="A4" s="252" t="s">
        <v>215</v>
      </c>
      <c r="B4" s="252"/>
      <c r="C4" s="252"/>
      <c r="D4" s="252"/>
      <c r="E4" s="252"/>
      <c r="F4" s="252"/>
      <c r="G4" s="252"/>
      <c r="H4" s="252"/>
      <c r="I4" s="252"/>
      <c r="J4" s="252"/>
      <c r="K4" s="252"/>
    </row>
    <row r="5" spans="1:12" ht="15" customHeight="1">
      <c r="A5" s="246" t="s">
        <v>216</v>
      </c>
      <c r="B5" s="247"/>
      <c r="C5" s="247"/>
      <c r="D5" s="247"/>
      <c r="E5" s="247"/>
      <c r="F5" s="247"/>
      <c r="G5" s="247"/>
      <c r="H5" s="247"/>
      <c r="I5" s="247"/>
      <c r="J5" s="247"/>
      <c r="K5" s="248"/>
    </row>
    <row r="6" spans="1:12">
      <c r="A6" s="246"/>
      <c r="B6" s="247"/>
      <c r="C6" s="247"/>
      <c r="D6" s="247"/>
      <c r="E6" s="247"/>
      <c r="F6" s="247"/>
      <c r="G6" s="247"/>
      <c r="H6" s="247"/>
      <c r="I6" s="247"/>
      <c r="J6" s="247"/>
      <c r="K6" s="248"/>
    </row>
    <row r="7" spans="1:12">
      <c r="A7" s="246"/>
      <c r="B7" s="247"/>
      <c r="C7" s="247"/>
      <c r="D7" s="247"/>
      <c r="E7" s="247"/>
      <c r="F7" s="247"/>
      <c r="G7" s="247"/>
      <c r="H7" s="247"/>
      <c r="I7" s="247"/>
      <c r="J7" s="247"/>
      <c r="K7" s="248"/>
    </row>
    <row r="8" spans="1:12">
      <c r="A8" s="246"/>
      <c r="B8" s="247"/>
      <c r="C8" s="247"/>
      <c r="D8" s="247"/>
      <c r="E8" s="247"/>
      <c r="F8" s="247"/>
      <c r="G8" s="247"/>
      <c r="H8" s="247"/>
      <c r="I8" s="247"/>
      <c r="J8" s="247"/>
      <c r="K8" s="248"/>
    </row>
    <row r="9" spans="1:12">
      <c r="A9" s="246"/>
      <c r="B9" s="247"/>
      <c r="C9" s="247"/>
      <c r="D9" s="247"/>
      <c r="E9" s="247"/>
      <c r="F9" s="247"/>
      <c r="G9" s="247"/>
      <c r="H9" s="247"/>
      <c r="I9" s="247"/>
      <c r="J9" s="247"/>
      <c r="K9" s="248"/>
    </row>
    <row r="10" spans="1:12">
      <c r="A10" s="246"/>
      <c r="B10" s="247"/>
      <c r="C10" s="247"/>
      <c r="D10" s="247"/>
      <c r="E10" s="247"/>
      <c r="F10" s="247"/>
      <c r="G10" s="247"/>
      <c r="H10" s="247"/>
      <c r="I10" s="247"/>
      <c r="J10" s="247"/>
      <c r="K10" s="248"/>
    </row>
    <row r="11" spans="1:12">
      <c r="A11" s="246"/>
      <c r="B11" s="247"/>
      <c r="C11" s="247"/>
      <c r="D11" s="247"/>
      <c r="E11" s="247"/>
      <c r="F11" s="247"/>
      <c r="G11" s="247"/>
      <c r="H11" s="247"/>
      <c r="I11" s="247"/>
      <c r="J11" s="247"/>
      <c r="K11" s="248"/>
    </row>
    <row r="12" spans="1:12">
      <c r="A12" s="246"/>
      <c r="B12" s="247"/>
      <c r="C12" s="247"/>
      <c r="D12" s="247"/>
      <c r="E12" s="247"/>
      <c r="F12" s="247"/>
      <c r="G12" s="247"/>
      <c r="H12" s="247"/>
      <c r="I12" s="247"/>
      <c r="J12" s="247"/>
      <c r="K12" s="248"/>
    </row>
    <row r="13" spans="1:12">
      <c r="A13" s="246"/>
      <c r="B13" s="247"/>
      <c r="C13" s="247"/>
      <c r="D13" s="247"/>
      <c r="E13" s="247"/>
      <c r="F13" s="247"/>
      <c r="G13" s="247"/>
      <c r="H13" s="247"/>
      <c r="I13" s="247"/>
      <c r="J13" s="247"/>
      <c r="K13" s="248"/>
    </row>
    <row r="14" spans="1:12">
      <c r="A14" s="249"/>
      <c r="B14" s="250"/>
      <c r="C14" s="250"/>
      <c r="D14" s="250"/>
      <c r="E14" s="250"/>
      <c r="F14" s="250"/>
      <c r="G14" s="250"/>
      <c r="H14" s="250"/>
      <c r="I14" s="250"/>
      <c r="J14" s="250"/>
      <c r="K14" s="251"/>
    </row>
  </sheetData>
  <mergeCells count="4">
    <mergeCell ref="A1:L1"/>
    <mergeCell ref="A2:L2"/>
    <mergeCell ref="A5:K14"/>
    <mergeCell ref="A4:K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F840-4FA1-40A3-9625-59DBB0F44A58}">
  <sheetPr>
    <tabColor rgb="FF92D050"/>
  </sheetPr>
  <dimension ref="A1:U51"/>
  <sheetViews>
    <sheetView tabSelected="1" workbookViewId="0">
      <selection activeCell="U12" sqref="U12"/>
    </sheetView>
  </sheetViews>
  <sheetFormatPr defaultRowHeight="15"/>
  <cols>
    <col min="1" max="1" width="13.7109375" customWidth="1"/>
    <col min="2" max="2" width="41" customWidth="1"/>
    <col min="3" max="8" width="13.7109375" customWidth="1"/>
    <col min="9" max="9" width="2.85546875" hidden="1" customWidth="1"/>
    <col min="10" max="10" width="1.7109375" hidden="1" customWidth="1"/>
    <col min="11" max="11" width="1.42578125" customWidth="1"/>
    <col min="12" max="19" width="18" customWidth="1"/>
  </cols>
  <sheetData>
    <row r="1" spans="1:21" ht="23.25">
      <c r="A1" s="167" t="s">
        <v>217</v>
      </c>
      <c r="B1" s="167"/>
      <c r="C1" s="167"/>
      <c r="D1" s="167"/>
      <c r="E1" s="167"/>
      <c r="F1" s="167"/>
      <c r="G1" s="167"/>
      <c r="H1" s="167"/>
      <c r="L1" s="152" t="s">
        <v>218</v>
      </c>
      <c r="M1" s="153"/>
      <c r="N1" s="153"/>
      <c r="O1" s="153"/>
      <c r="P1" s="153"/>
      <c r="Q1" s="153"/>
      <c r="R1" s="153"/>
      <c r="S1" s="153"/>
      <c r="T1" s="153"/>
      <c r="U1" s="154"/>
    </row>
    <row r="2" spans="1:21" ht="15" customHeight="1">
      <c r="A2" s="168" t="s">
        <v>219</v>
      </c>
      <c r="B2" s="168"/>
      <c r="C2" s="168"/>
      <c r="D2" s="168"/>
      <c r="E2" s="168"/>
      <c r="F2" s="168"/>
      <c r="G2" s="168"/>
      <c r="H2" s="168"/>
      <c r="L2" s="155"/>
      <c r="M2" s="156"/>
      <c r="N2" s="156"/>
      <c r="O2" s="156"/>
      <c r="P2" s="156"/>
      <c r="Q2" s="156"/>
      <c r="R2" s="156"/>
      <c r="S2" s="156"/>
      <c r="T2" s="156"/>
      <c r="U2" s="157"/>
    </row>
    <row r="3" spans="1:21">
      <c r="L3" s="158" t="s">
        <v>220</v>
      </c>
      <c r="M3" s="159"/>
      <c r="N3" s="159"/>
      <c r="O3" s="159"/>
      <c r="P3" s="159"/>
      <c r="Q3" s="159"/>
      <c r="R3" s="159"/>
      <c r="S3" s="159"/>
      <c r="T3" s="159"/>
      <c r="U3" s="160"/>
    </row>
    <row r="4" spans="1:21" ht="15" customHeight="1">
      <c r="A4" s="169" t="s">
        <v>221</v>
      </c>
      <c r="B4" s="169"/>
      <c r="C4" s="169"/>
      <c r="D4" s="169"/>
      <c r="E4" s="169"/>
      <c r="F4" s="169"/>
      <c r="G4" s="169"/>
      <c r="H4" s="169"/>
      <c r="L4" s="161"/>
      <c r="M4" s="162"/>
      <c r="N4" s="162"/>
      <c r="O4" s="162"/>
      <c r="P4" s="162"/>
      <c r="Q4" s="162"/>
      <c r="R4" s="162"/>
      <c r="S4" s="162"/>
      <c r="T4" s="162"/>
      <c r="U4" s="163"/>
    </row>
    <row r="5" spans="1:21" ht="15" customHeight="1">
      <c r="A5" s="170" t="s">
        <v>222</v>
      </c>
      <c r="B5" s="170"/>
      <c r="C5" s="170"/>
      <c r="E5" s="171" t="s">
        <v>223</v>
      </c>
      <c r="F5" s="171"/>
      <c r="G5" s="171"/>
      <c r="L5" s="164"/>
      <c r="M5" s="165"/>
      <c r="N5" s="165"/>
      <c r="O5" s="165"/>
      <c r="P5" s="165"/>
      <c r="Q5" s="165"/>
      <c r="R5" s="165"/>
      <c r="S5" s="165"/>
      <c r="T5" s="165"/>
      <c r="U5" s="166"/>
    </row>
    <row r="6" spans="1:21">
      <c r="A6" s="170"/>
      <c r="B6" s="170"/>
      <c r="C6" s="170"/>
      <c r="E6" s="171"/>
      <c r="F6" s="171"/>
      <c r="G6" s="171"/>
    </row>
    <row r="7" spans="1:21" ht="24" customHeight="1">
      <c r="A7" s="175" t="s">
        <v>224</v>
      </c>
      <c r="B7" s="175"/>
      <c r="C7" s="175"/>
      <c r="D7" s="175"/>
      <c r="E7" s="175"/>
      <c r="F7" s="175"/>
      <c r="G7" s="175"/>
      <c r="H7" s="175"/>
      <c r="L7" s="172" t="s">
        <v>225</v>
      </c>
      <c r="M7" s="172"/>
      <c r="N7" s="172"/>
      <c r="O7" s="172"/>
      <c r="P7" s="172"/>
      <c r="Q7" s="172"/>
      <c r="R7" s="172"/>
      <c r="S7" s="172"/>
    </row>
    <row r="8" spans="1:21" ht="15" customHeight="1">
      <c r="L8" s="141" t="s">
        <v>128</v>
      </c>
      <c r="M8" s="141" t="s">
        <v>129</v>
      </c>
      <c r="N8" s="141" t="s">
        <v>40</v>
      </c>
      <c r="O8" s="141" t="s">
        <v>143</v>
      </c>
      <c r="P8" s="141" t="s">
        <v>38</v>
      </c>
      <c r="Q8" s="141" t="s">
        <v>226</v>
      </c>
      <c r="R8" s="141" t="s">
        <v>227</v>
      </c>
      <c r="S8" s="141" t="s">
        <v>61</v>
      </c>
    </row>
    <row r="9" spans="1:21">
      <c r="L9" s="173" t="s">
        <v>228</v>
      </c>
      <c r="M9" s="173"/>
      <c r="N9" s="173"/>
      <c r="O9" s="173"/>
      <c r="P9" s="173"/>
      <c r="Q9" s="173"/>
      <c r="R9" s="173"/>
      <c r="S9" s="173"/>
    </row>
    <row r="11" spans="1:21" ht="24" customHeight="1">
      <c r="A11" s="174" t="s">
        <v>229</v>
      </c>
      <c r="B11" s="174"/>
      <c r="C11" s="174"/>
      <c r="D11" s="174"/>
      <c r="E11" s="174"/>
      <c r="F11" s="174"/>
      <c r="G11" s="174"/>
      <c r="H11" s="174"/>
      <c r="L11" s="174" t="s">
        <v>230</v>
      </c>
      <c r="M11" s="174"/>
      <c r="N11" s="174"/>
      <c r="O11" s="174"/>
      <c r="P11" s="174"/>
      <c r="Q11" s="174"/>
      <c r="R11" s="174"/>
      <c r="S11" s="174"/>
    </row>
    <row r="12" spans="1:21" ht="18" customHeight="1">
      <c r="A12" s="150" t="s">
        <v>231</v>
      </c>
      <c r="B12" s="150"/>
      <c r="C12" s="150"/>
      <c r="D12" s="150"/>
      <c r="E12" s="150"/>
      <c r="F12" s="150"/>
      <c r="G12" s="150"/>
      <c r="H12" s="150"/>
      <c r="L12" s="150" t="s">
        <v>232</v>
      </c>
      <c r="M12" s="150"/>
      <c r="N12" s="150"/>
      <c r="O12" s="150"/>
      <c r="P12" s="150"/>
      <c r="Q12" s="150"/>
      <c r="R12" s="150"/>
      <c r="S12" s="150"/>
    </row>
    <row r="13" spans="1:21" ht="18" customHeight="1">
      <c r="A13" s="150"/>
      <c r="B13" s="150"/>
      <c r="C13" s="150"/>
      <c r="D13" s="150"/>
      <c r="E13" s="150"/>
      <c r="F13" s="150"/>
      <c r="G13" s="150"/>
      <c r="H13" s="150"/>
      <c r="L13" s="150"/>
      <c r="M13" s="150"/>
      <c r="N13" s="150"/>
      <c r="O13" s="150"/>
      <c r="P13" s="150"/>
      <c r="Q13" s="150"/>
      <c r="R13" s="150"/>
      <c r="S13" s="150"/>
    </row>
    <row r="14" spans="1:21" ht="18" customHeight="1">
      <c r="A14" s="150"/>
      <c r="B14" s="150"/>
      <c r="C14" s="150"/>
      <c r="D14" s="150"/>
      <c r="E14" s="150"/>
      <c r="F14" s="150"/>
      <c r="G14" s="150"/>
      <c r="H14" s="150"/>
      <c r="L14" s="150"/>
      <c r="M14" s="150"/>
      <c r="N14" s="150"/>
      <c r="O14" s="150"/>
      <c r="P14" s="150"/>
      <c r="Q14" s="150"/>
      <c r="R14" s="150"/>
      <c r="S14" s="150"/>
    </row>
    <row r="15" spans="1:21" ht="18" customHeight="1">
      <c r="A15" s="150"/>
      <c r="B15" s="150"/>
      <c r="C15" s="150"/>
      <c r="D15" s="150"/>
      <c r="E15" s="150"/>
      <c r="F15" s="150"/>
      <c r="G15" s="150"/>
      <c r="H15" s="150"/>
      <c r="L15" s="150"/>
      <c r="M15" s="150"/>
      <c r="N15" s="150"/>
      <c r="O15" s="150"/>
      <c r="P15" s="150"/>
      <c r="Q15" s="150"/>
      <c r="R15" s="150"/>
      <c r="S15" s="150"/>
    </row>
    <row r="16" spans="1:21" ht="18" customHeight="1">
      <c r="A16" s="150"/>
      <c r="B16" s="150"/>
      <c r="C16" s="150"/>
      <c r="D16" s="150"/>
      <c r="E16" s="150"/>
      <c r="F16" s="150"/>
      <c r="G16" s="150"/>
      <c r="H16" s="150"/>
      <c r="L16" s="150"/>
      <c r="M16" s="150"/>
      <c r="N16" s="150"/>
      <c r="O16" s="150"/>
      <c r="P16" s="150"/>
      <c r="Q16" s="150"/>
      <c r="R16" s="150"/>
      <c r="S16" s="150"/>
    </row>
    <row r="17" spans="1:19" ht="18" customHeight="1">
      <c r="A17" s="150"/>
      <c r="B17" s="150"/>
      <c r="C17" s="150"/>
      <c r="D17" s="150"/>
      <c r="E17" s="150"/>
      <c r="F17" s="150"/>
      <c r="G17" s="150"/>
      <c r="H17" s="150"/>
      <c r="L17" s="150"/>
      <c r="M17" s="150"/>
      <c r="N17" s="150"/>
      <c r="O17" s="150"/>
      <c r="P17" s="150"/>
      <c r="Q17" s="150"/>
      <c r="R17" s="150"/>
      <c r="S17" s="150"/>
    </row>
    <row r="18" spans="1:19" ht="18" customHeight="1">
      <c r="A18" s="150"/>
      <c r="B18" s="150"/>
      <c r="C18" s="150"/>
      <c r="D18" s="150"/>
      <c r="E18" s="150"/>
      <c r="F18" s="150"/>
      <c r="G18" s="150"/>
      <c r="H18" s="150"/>
      <c r="L18" s="150"/>
      <c r="M18" s="150"/>
      <c r="N18" s="150"/>
      <c r="O18" s="150"/>
      <c r="P18" s="150"/>
      <c r="Q18" s="150"/>
      <c r="R18" s="150"/>
      <c r="S18" s="150"/>
    </row>
    <row r="19" spans="1:19" ht="18" customHeight="1">
      <c r="A19" s="150"/>
      <c r="B19" s="150"/>
      <c r="C19" s="150"/>
      <c r="D19" s="150"/>
      <c r="E19" s="150"/>
      <c r="F19" s="150"/>
      <c r="G19" s="150"/>
      <c r="H19" s="150"/>
      <c r="L19" s="150"/>
      <c r="M19" s="150"/>
      <c r="N19" s="150"/>
      <c r="O19" s="150"/>
      <c r="P19" s="150"/>
      <c r="Q19" s="150"/>
      <c r="R19" s="150"/>
      <c r="S19" s="150"/>
    </row>
    <row r="20" spans="1:19" ht="18" customHeight="1">
      <c r="A20" s="150"/>
      <c r="B20" s="150"/>
      <c r="C20" s="150"/>
      <c r="D20" s="150"/>
      <c r="E20" s="150"/>
      <c r="F20" s="150"/>
      <c r="G20" s="150"/>
      <c r="H20" s="150"/>
      <c r="L20" s="150"/>
      <c r="M20" s="150"/>
      <c r="N20" s="150"/>
      <c r="O20" s="150"/>
      <c r="P20" s="150"/>
      <c r="Q20" s="150"/>
      <c r="R20" s="150"/>
      <c r="S20" s="150"/>
    </row>
    <row r="21" spans="1:19">
      <c r="L21" s="150"/>
      <c r="M21" s="150"/>
      <c r="N21" s="150"/>
      <c r="O21" s="150"/>
      <c r="P21" s="150"/>
      <c r="Q21" s="150"/>
      <c r="R21" s="150"/>
      <c r="S21" s="150"/>
    </row>
    <row r="22" spans="1:19" ht="24" customHeight="1">
      <c r="L22" s="150"/>
      <c r="M22" s="150"/>
      <c r="N22" s="150"/>
      <c r="O22" s="150"/>
      <c r="P22" s="150"/>
      <c r="Q22" s="150"/>
      <c r="R22" s="150"/>
      <c r="S22" s="150"/>
    </row>
    <row r="23" spans="1:19" ht="18" customHeight="1">
      <c r="L23" s="150"/>
      <c r="M23" s="150"/>
      <c r="N23" s="150"/>
      <c r="O23" s="150"/>
      <c r="P23" s="150"/>
      <c r="Q23" s="150"/>
      <c r="R23" s="150"/>
      <c r="S23" s="150"/>
    </row>
    <row r="24" spans="1:19" ht="18" customHeight="1">
      <c r="L24" s="150"/>
      <c r="M24" s="150"/>
      <c r="N24" s="150"/>
      <c r="O24" s="150"/>
      <c r="P24" s="150"/>
      <c r="Q24" s="150"/>
      <c r="R24" s="150"/>
      <c r="S24" s="150"/>
    </row>
    <row r="25" spans="1:19" ht="18" customHeight="1">
      <c r="L25" s="150"/>
      <c r="M25" s="150"/>
      <c r="N25" s="150"/>
      <c r="O25" s="150"/>
      <c r="P25" s="150"/>
      <c r="Q25" s="150"/>
      <c r="R25" s="150"/>
      <c r="S25" s="150"/>
    </row>
    <row r="26" spans="1:19" ht="18" customHeight="1">
      <c r="L26" s="150"/>
      <c r="M26" s="150"/>
      <c r="N26" s="150"/>
      <c r="O26" s="150"/>
      <c r="P26" s="150"/>
      <c r="Q26" s="150"/>
      <c r="R26" s="150"/>
      <c r="S26" s="150"/>
    </row>
    <row r="27" spans="1:19" ht="18" customHeight="1">
      <c r="L27" s="150"/>
      <c r="M27" s="150"/>
      <c r="N27" s="150"/>
      <c r="O27" s="150"/>
      <c r="P27" s="150"/>
      <c r="Q27" s="150"/>
      <c r="R27" s="150"/>
      <c r="S27" s="150"/>
    </row>
    <row r="28" spans="1:19" ht="18" customHeight="1">
      <c r="L28" s="150"/>
      <c r="M28" s="150"/>
      <c r="N28" s="150"/>
      <c r="O28" s="150"/>
      <c r="P28" s="150"/>
      <c r="Q28" s="150"/>
      <c r="R28" s="150"/>
      <c r="S28" s="150"/>
    </row>
    <row r="29" spans="1:19" ht="18" customHeight="1">
      <c r="L29" s="150"/>
      <c r="M29" s="150"/>
      <c r="N29" s="150"/>
      <c r="O29" s="150"/>
      <c r="P29" s="150"/>
      <c r="Q29" s="150"/>
      <c r="R29" s="150"/>
      <c r="S29" s="150"/>
    </row>
    <row r="30" spans="1:19" ht="18" customHeight="1">
      <c r="L30" s="150"/>
      <c r="M30" s="150"/>
      <c r="N30" s="150"/>
      <c r="O30" s="150"/>
      <c r="P30" s="150"/>
      <c r="Q30" s="150"/>
      <c r="R30" s="150"/>
      <c r="S30" s="150"/>
    </row>
    <row r="31" spans="1:19" ht="18" customHeight="1">
      <c r="L31" s="150"/>
      <c r="M31" s="150"/>
      <c r="N31" s="150"/>
      <c r="O31" s="150"/>
      <c r="P31" s="150"/>
      <c r="Q31" s="150"/>
      <c r="R31" s="150"/>
      <c r="S31" s="150"/>
    </row>
    <row r="32" spans="1:19" ht="18" customHeight="1">
      <c r="L32" s="150"/>
      <c r="M32" s="150"/>
      <c r="N32" s="150"/>
      <c r="O32" s="150"/>
      <c r="P32" s="150"/>
      <c r="Q32" s="150"/>
      <c r="R32" s="150"/>
      <c r="S32" s="150"/>
    </row>
    <row r="33" spans="12:19" ht="18" customHeight="1">
      <c r="L33" s="150"/>
      <c r="M33" s="150"/>
      <c r="N33" s="150"/>
      <c r="O33" s="150"/>
      <c r="P33" s="150"/>
      <c r="Q33" s="150"/>
      <c r="R33" s="150"/>
      <c r="S33" s="150"/>
    </row>
    <row r="34" spans="12:19" ht="18" customHeight="1">
      <c r="L34" s="150"/>
      <c r="M34" s="150"/>
      <c r="N34" s="150"/>
      <c r="O34" s="150"/>
      <c r="P34" s="150"/>
      <c r="Q34" s="150"/>
      <c r="R34" s="150"/>
      <c r="S34" s="150"/>
    </row>
    <row r="35" spans="12:19" ht="18" customHeight="1">
      <c r="L35" s="150"/>
      <c r="M35" s="150"/>
      <c r="N35" s="150"/>
      <c r="O35" s="150"/>
      <c r="P35" s="150"/>
      <c r="Q35" s="150"/>
      <c r="R35" s="150"/>
      <c r="S35" s="150"/>
    </row>
    <row r="36" spans="12:19" ht="18" customHeight="1">
      <c r="L36" s="150"/>
      <c r="M36" s="150"/>
      <c r="N36" s="150"/>
      <c r="O36" s="150"/>
      <c r="P36" s="150"/>
      <c r="Q36" s="150"/>
      <c r="R36" s="150"/>
      <c r="S36" s="150"/>
    </row>
    <row r="37" spans="12:19" ht="18" customHeight="1">
      <c r="L37" s="150"/>
      <c r="M37" s="150"/>
      <c r="N37" s="150"/>
      <c r="O37" s="150"/>
      <c r="P37" s="150"/>
      <c r="Q37" s="150"/>
      <c r="R37" s="150"/>
      <c r="S37" s="150"/>
    </row>
    <row r="38" spans="12:19" ht="18" customHeight="1">
      <c r="L38" s="151" t="s">
        <v>233</v>
      </c>
      <c r="M38" s="151"/>
      <c r="N38" s="151"/>
      <c r="O38" s="151"/>
      <c r="P38" s="151"/>
      <c r="Q38" s="151"/>
      <c r="R38" s="151"/>
      <c r="S38" s="151"/>
    </row>
    <row r="39" spans="12:19" ht="18" customHeight="1"/>
    <row r="40" spans="12:19" ht="18" customHeight="1"/>
    <row r="41" spans="12:19" ht="18" customHeight="1"/>
    <row r="42" spans="12:19" ht="18" customHeight="1"/>
    <row r="43" spans="12:19" ht="18" customHeight="1"/>
    <row r="44" spans="12:19" ht="18" customHeight="1"/>
    <row r="45" spans="12:19" ht="18" customHeight="1"/>
    <row r="46" spans="12:19" ht="18" customHeight="1"/>
    <row r="47" spans="12:19" ht="18" customHeight="1"/>
    <row r="48" spans="12:19" ht="18" customHeight="1"/>
    <row r="49" ht="15" customHeight="1"/>
    <row r="50" ht="24" customHeight="1"/>
    <row r="51" ht="24" customHeight="1"/>
  </sheetData>
  <mergeCells count="15">
    <mergeCell ref="L12:S37"/>
    <mergeCell ref="A12:H20"/>
    <mergeCell ref="L38:S38"/>
    <mergeCell ref="L1:U2"/>
    <mergeCell ref="L3:U5"/>
    <mergeCell ref="A1:H1"/>
    <mergeCell ref="A2:H2"/>
    <mergeCell ref="A4:H4"/>
    <mergeCell ref="A5:C6"/>
    <mergeCell ref="E5:G6"/>
    <mergeCell ref="L7:S7"/>
    <mergeCell ref="L9:S9"/>
    <mergeCell ref="A11:H11"/>
    <mergeCell ref="L11:S11"/>
    <mergeCell ref="A7:H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68C9-EBD0-494C-A8A5-1A61E00567B7}">
  <sheetPr>
    <tabColor theme="4"/>
  </sheetPr>
  <dimension ref="A1:S121"/>
  <sheetViews>
    <sheetView topLeftCell="A67" workbookViewId="0">
      <selection activeCell="E130" sqref="E130"/>
    </sheetView>
  </sheetViews>
  <sheetFormatPr defaultRowHeight="15"/>
  <cols>
    <col min="1" max="1" width="12.140625" bestFit="1" customWidth="1"/>
    <col min="2" max="2" width="23.85546875" bestFit="1" customWidth="1"/>
    <col min="3" max="3" width="12.42578125" bestFit="1" customWidth="1"/>
    <col min="4" max="4" width="9.42578125" bestFit="1" customWidth="1"/>
    <col min="5" max="5" width="10.42578125" bestFit="1" customWidth="1"/>
    <col min="6" max="6" width="9.5703125" bestFit="1" customWidth="1"/>
    <col min="7" max="7" width="14.28515625" bestFit="1" customWidth="1"/>
    <col min="8" max="8" width="14.7109375" bestFit="1" customWidth="1"/>
    <col min="9" max="9" width="13.7109375" bestFit="1" customWidth="1"/>
    <col min="10" max="10" width="9.5703125" bestFit="1" customWidth="1"/>
    <col min="11" max="11" width="9.7109375" bestFit="1" customWidth="1"/>
    <col min="12" max="12" width="13.42578125" bestFit="1" customWidth="1"/>
    <col min="13" max="13" width="16.85546875" bestFit="1" customWidth="1"/>
    <col min="14" max="14" width="8.7109375" bestFit="1" customWidth="1"/>
    <col min="15" max="15" width="12.28515625" bestFit="1" customWidth="1"/>
    <col min="16" max="16" width="16" bestFit="1" customWidth="1"/>
    <col min="17" max="17" width="12.42578125" bestFit="1" customWidth="1"/>
    <col min="18" max="19" width="15" bestFit="1" customWidth="1"/>
  </cols>
  <sheetData>
    <row r="1" spans="1:19">
      <c r="A1" s="7" t="s">
        <v>128</v>
      </c>
      <c r="B1" s="7" t="s">
        <v>129</v>
      </c>
      <c r="C1" s="7" t="s">
        <v>234</v>
      </c>
      <c r="D1" s="7" t="s">
        <v>60</v>
      </c>
      <c r="E1" s="7" t="s">
        <v>235</v>
      </c>
      <c r="F1" s="7" t="s">
        <v>40</v>
      </c>
      <c r="G1" s="7" t="s">
        <v>92</v>
      </c>
      <c r="H1" s="7" t="s">
        <v>203</v>
      </c>
      <c r="I1" s="7" t="s">
        <v>143</v>
      </c>
      <c r="J1" s="7" t="s">
        <v>38</v>
      </c>
      <c r="K1" s="7" t="s">
        <v>61</v>
      </c>
      <c r="L1" s="7" t="s">
        <v>62</v>
      </c>
      <c r="M1" s="7" t="s">
        <v>41</v>
      </c>
      <c r="N1" s="7" t="s">
        <v>144</v>
      </c>
      <c r="O1" s="7" t="s">
        <v>236</v>
      </c>
      <c r="P1" s="7" t="s">
        <v>237</v>
      </c>
      <c r="Q1" s="7" t="s">
        <v>226</v>
      </c>
      <c r="R1" s="7" t="s">
        <v>131</v>
      </c>
      <c r="S1" s="7" t="s">
        <v>132</v>
      </c>
    </row>
    <row r="2" spans="1:19">
      <c r="A2" t="s">
        <v>183</v>
      </c>
      <c r="B2" t="s">
        <v>238</v>
      </c>
      <c r="C2" s="1">
        <v>45658</v>
      </c>
      <c r="D2" t="s">
        <v>63</v>
      </c>
      <c r="E2" t="s">
        <v>239</v>
      </c>
      <c r="F2" t="s">
        <v>43</v>
      </c>
      <c r="G2" t="s">
        <v>93</v>
      </c>
      <c r="H2" t="s">
        <v>115</v>
      </c>
      <c r="I2" t="s">
        <v>151</v>
      </c>
      <c r="J2" t="s">
        <v>42</v>
      </c>
      <c r="K2" s="2">
        <v>55000</v>
      </c>
      <c r="L2" s="2">
        <v>45100</v>
      </c>
      <c r="M2" s="2">
        <v>53218</v>
      </c>
      <c r="N2" s="3">
        <v>180</v>
      </c>
      <c r="O2" s="3">
        <v>3</v>
      </c>
      <c r="P2" s="4">
        <v>0.35</v>
      </c>
      <c r="Q2" s="5">
        <v>1</v>
      </c>
      <c r="R2" s="6">
        <v>72.5</v>
      </c>
      <c r="S2" s="6">
        <v>18.7</v>
      </c>
    </row>
    <row r="3" spans="1:19">
      <c r="A3" t="s">
        <v>240</v>
      </c>
      <c r="B3" t="s">
        <v>241</v>
      </c>
      <c r="C3" s="1">
        <v>45696</v>
      </c>
      <c r="D3" t="s">
        <v>64</v>
      </c>
      <c r="E3" t="s">
        <v>239</v>
      </c>
      <c r="F3" t="s">
        <v>47</v>
      </c>
      <c r="G3" t="s">
        <v>99</v>
      </c>
      <c r="H3" t="s">
        <v>124</v>
      </c>
      <c r="I3" t="s">
        <v>149</v>
      </c>
      <c r="J3" t="s">
        <v>45</v>
      </c>
      <c r="K3" s="2">
        <v>72357</v>
      </c>
      <c r="L3" s="2">
        <v>68739</v>
      </c>
      <c r="M3" s="2">
        <v>88673</v>
      </c>
      <c r="N3" s="3">
        <v>253</v>
      </c>
      <c r="O3" s="3">
        <v>8</v>
      </c>
      <c r="P3" s="4">
        <v>0.16999999999999998</v>
      </c>
      <c r="Q3" s="5">
        <v>7</v>
      </c>
      <c r="R3" s="6">
        <v>72.64</v>
      </c>
      <c r="S3" s="6">
        <v>18.809999999999999</v>
      </c>
    </row>
    <row r="4" spans="1:19">
      <c r="A4" t="s">
        <v>242</v>
      </c>
      <c r="B4" t="s">
        <v>243</v>
      </c>
      <c r="C4" s="1">
        <v>45731</v>
      </c>
      <c r="D4" t="s">
        <v>65</v>
      </c>
      <c r="E4" t="s">
        <v>239</v>
      </c>
      <c r="F4" t="s">
        <v>49</v>
      </c>
      <c r="G4" t="s">
        <v>101</v>
      </c>
      <c r="H4" t="s">
        <v>118</v>
      </c>
      <c r="I4" t="s">
        <v>147</v>
      </c>
      <c r="J4" t="s">
        <v>48</v>
      </c>
      <c r="K4" s="2">
        <v>89714</v>
      </c>
      <c r="L4" s="2">
        <v>96891</v>
      </c>
      <c r="M4" s="2">
        <v>135647</v>
      </c>
      <c r="N4" s="3">
        <v>326</v>
      </c>
      <c r="O4" s="3">
        <v>13</v>
      </c>
      <c r="P4" s="4">
        <v>0.31</v>
      </c>
      <c r="Q4" s="5">
        <v>9</v>
      </c>
      <c r="R4" s="6">
        <v>72.78</v>
      </c>
      <c r="S4" s="6">
        <v>18.920000000000002</v>
      </c>
    </row>
    <row r="5" spans="1:19">
      <c r="A5" t="s">
        <v>244</v>
      </c>
      <c r="B5" t="s">
        <v>245</v>
      </c>
      <c r="C5" s="1">
        <v>45769</v>
      </c>
      <c r="D5" t="s">
        <v>66</v>
      </c>
      <c r="E5" t="s">
        <v>246</v>
      </c>
      <c r="F5" t="s">
        <v>54</v>
      </c>
      <c r="G5" t="s">
        <v>98</v>
      </c>
      <c r="H5" t="s">
        <v>111</v>
      </c>
      <c r="I5" t="s">
        <v>156</v>
      </c>
      <c r="J5" t="s">
        <v>46</v>
      </c>
      <c r="K5" s="2">
        <v>107071</v>
      </c>
      <c r="L5" s="2">
        <v>89940</v>
      </c>
      <c r="M5" s="2">
        <v>135809</v>
      </c>
      <c r="N5" s="3">
        <v>399</v>
      </c>
      <c r="O5" s="3">
        <v>6</v>
      </c>
      <c r="P5" s="4">
        <v>1</v>
      </c>
      <c r="Q5" s="5">
        <v>4</v>
      </c>
      <c r="R5" s="6">
        <v>72.92</v>
      </c>
      <c r="S5" s="6">
        <v>19.03</v>
      </c>
    </row>
    <row r="6" spans="1:19">
      <c r="A6" t="s">
        <v>247</v>
      </c>
      <c r="B6" t="s">
        <v>248</v>
      </c>
      <c r="C6" s="1">
        <v>45781</v>
      </c>
      <c r="D6" t="s">
        <v>67</v>
      </c>
      <c r="E6" t="s">
        <v>246</v>
      </c>
      <c r="F6" t="s">
        <v>55</v>
      </c>
      <c r="G6" t="s">
        <v>100</v>
      </c>
      <c r="H6" t="s">
        <v>7</v>
      </c>
      <c r="I6" t="s">
        <v>154</v>
      </c>
      <c r="J6" t="s">
        <v>42</v>
      </c>
      <c r="K6" s="2">
        <v>124428</v>
      </c>
      <c r="L6" s="2">
        <v>120695</v>
      </c>
      <c r="M6" s="2">
        <v>195526</v>
      </c>
      <c r="N6" s="3">
        <v>472</v>
      </c>
      <c r="O6" s="3">
        <v>11</v>
      </c>
      <c r="P6" s="4">
        <v>0.63</v>
      </c>
      <c r="Q6" s="5">
        <v>1</v>
      </c>
      <c r="R6" s="6">
        <v>73.06</v>
      </c>
      <c r="S6" s="6">
        <v>19.14</v>
      </c>
    </row>
    <row r="7" spans="1:19">
      <c r="A7" t="s">
        <v>249</v>
      </c>
      <c r="B7" t="s">
        <v>250</v>
      </c>
      <c r="C7" s="1">
        <v>45819</v>
      </c>
      <c r="D7" t="s">
        <v>68</v>
      </c>
      <c r="E7" t="s">
        <v>246</v>
      </c>
      <c r="F7" t="s">
        <v>43</v>
      </c>
      <c r="G7" t="s">
        <v>98</v>
      </c>
      <c r="H7" t="s">
        <v>115</v>
      </c>
      <c r="I7" t="s">
        <v>152</v>
      </c>
      <c r="J7" t="s">
        <v>45</v>
      </c>
      <c r="K7" s="2">
        <v>141785</v>
      </c>
      <c r="L7" s="2">
        <v>155964</v>
      </c>
      <c r="M7" s="2">
        <v>194955</v>
      </c>
      <c r="N7" s="3">
        <v>545</v>
      </c>
      <c r="O7" s="3">
        <v>4</v>
      </c>
      <c r="P7" s="4">
        <v>0.25</v>
      </c>
      <c r="Q7" s="5">
        <v>8</v>
      </c>
      <c r="R7" s="6">
        <v>73.2</v>
      </c>
      <c r="S7" s="6">
        <v>19.25</v>
      </c>
    </row>
    <row r="8" spans="1:19">
      <c r="A8" t="s">
        <v>251</v>
      </c>
      <c r="B8" t="s">
        <v>252</v>
      </c>
      <c r="C8" s="1">
        <v>45856</v>
      </c>
      <c r="D8" t="s">
        <v>69</v>
      </c>
      <c r="E8" t="s">
        <v>253</v>
      </c>
      <c r="F8" t="s">
        <v>47</v>
      </c>
      <c r="G8" t="s">
        <v>100</v>
      </c>
      <c r="H8" t="s">
        <v>124</v>
      </c>
      <c r="I8" t="s">
        <v>151</v>
      </c>
      <c r="J8" t="s">
        <v>48</v>
      </c>
      <c r="K8" s="2">
        <v>159142</v>
      </c>
      <c r="L8" s="2">
        <v>136862</v>
      </c>
      <c r="M8" s="2">
        <v>186132</v>
      </c>
      <c r="N8" s="3">
        <v>618</v>
      </c>
      <c r="O8" s="3">
        <v>9</v>
      </c>
      <c r="P8" s="4">
        <v>0.43</v>
      </c>
      <c r="Q8" s="5">
        <v>9</v>
      </c>
      <c r="R8" s="6">
        <v>73.34</v>
      </c>
      <c r="S8" s="6">
        <v>19.36</v>
      </c>
    </row>
    <row r="9" spans="1:19">
      <c r="A9" t="s">
        <v>254</v>
      </c>
      <c r="B9" t="s">
        <v>255</v>
      </c>
      <c r="C9" s="1">
        <v>45894</v>
      </c>
      <c r="D9" t="s">
        <v>70</v>
      </c>
      <c r="E9" t="s">
        <v>253</v>
      </c>
      <c r="F9" t="s">
        <v>49</v>
      </c>
      <c r="G9" t="s">
        <v>93</v>
      </c>
      <c r="H9" t="s">
        <v>118</v>
      </c>
      <c r="I9" t="s">
        <v>149</v>
      </c>
      <c r="J9" t="s">
        <v>46</v>
      </c>
      <c r="K9" s="2">
        <v>176499</v>
      </c>
      <c r="L9" s="2">
        <v>174734</v>
      </c>
      <c r="M9" s="2">
        <v>256859</v>
      </c>
      <c r="N9" s="3">
        <v>691</v>
      </c>
      <c r="O9" s="3">
        <v>14</v>
      </c>
      <c r="P9" s="4">
        <v>1</v>
      </c>
      <c r="Q9" s="5">
        <v>4</v>
      </c>
      <c r="R9" s="6">
        <v>73.48</v>
      </c>
      <c r="S9" s="6">
        <v>19.47</v>
      </c>
    </row>
    <row r="10" spans="1:19">
      <c r="A10" t="s">
        <v>256</v>
      </c>
      <c r="B10" t="s">
        <v>257</v>
      </c>
      <c r="C10" s="1">
        <v>45907</v>
      </c>
      <c r="D10" t="s">
        <v>71</v>
      </c>
      <c r="E10" t="s">
        <v>253</v>
      </c>
      <c r="F10" t="s">
        <v>54</v>
      </c>
      <c r="G10" t="s">
        <v>99</v>
      </c>
      <c r="H10" t="s">
        <v>111</v>
      </c>
      <c r="I10" t="s">
        <v>147</v>
      </c>
      <c r="J10" t="s">
        <v>42</v>
      </c>
      <c r="K10" s="2">
        <v>193856</v>
      </c>
      <c r="L10" s="2">
        <v>217119</v>
      </c>
      <c r="M10" s="2">
        <v>343048</v>
      </c>
      <c r="N10" s="3">
        <v>764</v>
      </c>
      <c r="O10" s="3">
        <v>7</v>
      </c>
      <c r="P10" s="4">
        <v>0.36</v>
      </c>
      <c r="Q10" s="5">
        <v>1</v>
      </c>
      <c r="R10" s="6">
        <v>73.62</v>
      </c>
      <c r="S10" s="6">
        <v>19.579999999999998</v>
      </c>
    </row>
    <row r="11" spans="1:19">
      <c r="A11" t="s">
        <v>258</v>
      </c>
      <c r="B11" t="s">
        <v>259</v>
      </c>
      <c r="C11" s="1">
        <v>45944</v>
      </c>
      <c r="D11" t="s">
        <v>72</v>
      </c>
      <c r="E11" t="s">
        <v>260</v>
      </c>
      <c r="F11" t="s">
        <v>55</v>
      </c>
      <c r="G11" t="s">
        <v>101</v>
      </c>
      <c r="H11" t="s">
        <v>7</v>
      </c>
      <c r="I11" t="s">
        <v>156</v>
      </c>
      <c r="J11" t="s">
        <v>42</v>
      </c>
      <c r="K11" s="2">
        <v>211213</v>
      </c>
      <c r="L11" s="2">
        <v>185867</v>
      </c>
      <c r="M11" s="2">
        <v>224899</v>
      </c>
      <c r="N11" s="3">
        <v>837</v>
      </c>
      <c r="O11" s="3">
        <v>12</v>
      </c>
      <c r="P11" s="4">
        <v>0.43</v>
      </c>
      <c r="Q11" s="5">
        <v>4</v>
      </c>
      <c r="R11" s="6">
        <v>73.760000000000005</v>
      </c>
      <c r="S11" s="6">
        <v>19.690000000000001</v>
      </c>
    </row>
    <row r="12" spans="1:19">
      <c r="A12" t="s">
        <v>261</v>
      </c>
      <c r="B12" t="s">
        <v>262</v>
      </c>
      <c r="C12" s="1">
        <v>45982</v>
      </c>
      <c r="D12" t="s">
        <v>73</v>
      </c>
      <c r="E12" t="s">
        <v>260</v>
      </c>
      <c r="F12" t="s">
        <v>43</v>
      </c>
      <c r="G12" t="s">
        <v>99</v>
      </c>
      <c r="H12" t="s">
        <v>115</v>
      </c>
      <c r="I12" t="s">
        <v>154</v>
      </c>
      <c r="J12" t="s">
        <v>45</v>
      </c>
      <c r="K12" s="2">
        <v>228570</v>
      </c>
      <c r="L12" s="2">
        <v>230856</v>
      </c>
      <c r="M12" s="2">
        <v>304730</v>
      </c>
      <c r="N12" s="3">
        <v>910</v>
      </c>
      <c r="O12" s="3">
        <v>5</v>
      </c>
      <c r="P12" s="4">
        <v>0.35</v>
      </c>
      <c r="Q12" s="5">
        <v>7</v>
      </c>
      <c r="R12" s="6">
        <v>73.900000000000006</v>
      </c>
      <c r="S12" s="6">
        <v>19.8</v>
      </c>
    </row>
    <row r="13" spans="1:19">
      <c r="A13" t="s">
        <v>263</v>
      </c>
      <c r="B13" t="s">
        <v>264</v>
      </c>
      <c r="C13" s="1">
        <v>45994</v>
      </c>
      <c r="D13" t="s">
        <v>74</v>
      </c>
      <c r="E13" t="s">
        <v>260</v>
      </c>
      <c r="F13" t="s">
        <v>47</v>
      </c>
      <c r="G13" t="s">
        <v>101</v>
      </c>
      <c r="H13" t="s">
        <v>124</v>
      </c>
      <c r="I13" t="s">
        <v>152</v>
      </c>
      <c r="J13" t="s">
        <v>48</v>
      </c>
      <c r="K13" s="2">
        <v>245927</v>
      </c>
      <c r="L13" s="2">
        <v>280357</v>
      </c>
      <c r="M13" s="2">
        <v>400911</v>
      </c>
      <c r="N13" s="3">
        <v>983</v>
      </c>
      <c r="O13" s="3">
        <v>10</v>
      </c>
      <c r="P13" s="4">
        <v>0.58000000000000007</v>
      </c>
      <c r="Q13" s="5">
        <v>10</v>
      </c>
      <c r="R13" s="6">
        <v>74.040000000000006</v>
      </c>
      <c r="S13" s="6">
        <v>19.91</v>
      </c>
    </row>
    <row r="14" spans="1:19">
      <c r="A14" t="s">
        <v>265</v>
      </c>
      <c r="B14" t="s">
        <v>266</v>
      </c>
      <c r="C14" s="1">
        <v>45667</v>
      </c>
      <c r="D14" t="s">
        <v>63</v>
      </c>
      <c r="E14" t="s">
        <v>239</v>
      </c>
      <c r="F14" t="s">
        <v>49</v>
      </c>
      <c r="G14" t="s">
        <v>98</v>
      </c>
      <c r="H14" t="s">
        <v>118</v>
      </c>
      <c r="I14" t="s">
        <v>151</v>
      </c>
      <c r="J14" t="s">
        <v>46</v>
      </c>
      <c r="K14" s="2">
        <v>263284</v>
      </c>
      <c r="L14" s="2">
        <v>236956</v>
      </c>
      <c r="M14" s="2">
        <v>364912</v>
      </c>
      <c r="N14" s="3">
        <v>1056</v>
      </c>
      <c r="O14" s="3">
        <v>3</v>
      </c>
      <c r="P14" s="4">
        <v>1</v>
      </c>
      <c r="Q14" s="5">
        <v>1</v>
      </c>
      <c r="R14" s="6">
        <v>74.180000000000007</v>
      </c>
      <c r="S14" s="6">
        <v>20.02</v>
      </c>
    </row>
    <row r="15" spans="1:19">
      <c r="A15" t="s">
        <v>267</v>
      </c>
      <c r="B15" t="s">
        <v>268</v>
      </c>
      <c r="C15" s="1">
        <v>45705</v>
      </c>
      <c r="D15" t="s">
        <v>64</v>
      </c>
      <c r="E15" t="s">
        <v>239</v>
      </c>
      <c r="F15" t="s">
        <v>54</v>
      </c>
      <c r="G15" t="s">
        <v>100</v>
      </c>
      <c r="H15" t="s">
        <v>111</v>
      </c>
      <c r="I15" t="s">
        <v>149</v>
      </c>
      <c r="J15" t="s">
        <v>42</v>
      </c>
      <c r="K15" s="2">
        <v>280641</v>
      </c>
      <c r="L15" s="2">
        <v>289060</v>
      </c>
      <c r="M15" s="2">
        <v>476949</v>
      </c>
      <c r="N15" s="3">
        <v>1129</v>
      </c>
      <c r="O15" s="3">
        <v>8</v>
      </c>
      <c r="P15" s="4">
        <v>0.71</v>
      </c>
      <c r="Q15" s="5">
        <v>4</v>
      </c>
      <c r="R15" s="6">
        <v>74.319999999999993</v>
      </c>
      <c r="S15" s="6">
        <v>20.13</v>
      </c>
    </row>
    <row r="16" spans="1:19">
      <c r="A16" t="s">
        <v>269</v>
      </c>
      <c r="B16" t="s">
        <v>270</v>
      </c>
      <c r="C16" s="1">
        <v>45740</v>
      </c>
      <c r="D16" t="s">
        <v>65</v>
      </c>
      <c r="E16" t="s">
        <v>239</v>
      </c>
      <c r="F16" t="s">
        <v>55</v>
      </c>
      <c r="G16" t="s">
        <v>93</v>
      </c>
      <c r="H16" t="s">
        <v>7</v>
      </c>
      <c r="I16" t="s">
        <v>147</v>
      </c>
      <c r="J16" t="s">
        <v>45</v>
      </c>
      <c r="K16" s="2">
        <v>297998</v>
      </c>
      <c r="L16" s="2">
        <v>345678</v>
      </c>
      <c r="M16" s="2">
        <v>442468</v>
      </c>
      <c r="N16" s="3">
        <v>1202</v>
      </c>
      <c r="O16" s="3">
        <v>13</v>
      </c>
      <c r="P16" s="4">
        <v>0.43000000000000005</v>
      </c>
      <c r="Q16" s="5">
        <v>8</v>
      </c>
      <c r="R16" s="6">
        <v>74.459999999999994</v>
      </c>
      <c r="S16" s="6">
        <v>20.239999999999998</v>
      </c>
    </row>
    <row r="17" spans="1:19">
      <c r="A17" t="s">
        <v>271</v>
      </c>
      <c r="B17" t="s">
        <v>272</v>
      </c>
      <c r="C17" s="1">
        <v>45753</v>
      </c>
      <c r="D17" t="s">
        <v>66</v>
      </c>
      <c r="E17" t="s">
        <v>246</v>
      </c>
      <c r="F17" t="s">
        <v>43</v>
      </c>
      <c r="G17" t="s">
        <v>100</v>
      </c>
      <c r="H17" t="s">
        <v>115</v>
      </c>
      <c r="I17" t="s">
        <v>156</v>
      </c>
      <c r="J17" t="s">
        <v>48</v>
      </c>
      <c r="K17" s="2">
        <v>70355</v>
      </c>
      <c r="L17" s="2">
        <v>64727</v>
      </c>
      <c r="M17" s="2">
        <v>89971</v>
      </c>
      <c r="N17" s="3">
        <v>1275</v>
      </c>
      <c r="O17" s="3">
        <v>6</v>
      </c>
      <c r="P17" s="4">
        <v>0.7</v>
      </c>
      <c r="Q17" s="5">
        <v>10</v>
      </c>
      <c r="R17" s="6">
        <v>74.599999999999994</v>
      </c>
      <c r="S17" s="6">
        <v>18.7</v>
      </c>
    </row>
    <row r="18" spans="1:19">
      <c r="A18" t="s">
        <v>273</v>
      </c>
      <c r="B18" t="s">
        <v>274</v>
      </c>
      <c r="C18" s="1">
        <v>45790</v>
      </c>
      <c r="D18" t="s">
        <v>67</v>
      </c>
      <c r="E18" t="s">
        <v>246</v>
      </c>
      <c r="F18" t="s">
        <v>47</v>
      </c>
      <c r="G18" t="s">
        <v>93</v>
      </c>
      <c r="H18" t="s">
        <v>124</v>
      </c>
      <c r="I18" t="s">
        <v>154</v>
      </c>
      <c r="J18" t="s">
        <v>46</v>
      </c>
      <c r="K18" s="2">
        <v>87712</v>
      </c>
      <c r="L18" s="2">
        <v>92098</v>
      </c>
      <c r="M18" s="2">
        <v>138147</v>
      </c>
      <c r="N18" s="3">
        <v>1348</v>
      </c>
      <c r="O18" s="3">
        <v>11</v>
      </c>
      <c r="P18" s="4">
        <v>1</v>
      </c>
      <c r="Q18" s="5">
        <v>1</v>
      </c>
      <c r="R18" s="6">
        <v>74.739999999999995</v>
      </c>
      <c r="S18" s="6">
        <v>18.809999999999999</v>
      </c>
    </row>
    <row r="19" spans="1:19">
      <c r="A19" t="s">
        <v>275</v>
      </c>
      <c r="B19" t="s">
        <v>276</v>
      </c>
      <c r="C19" s="1">
        <v>45828</v>
      </c>
      <c r="D19" t="s">
        <v>68</v>
      </c>
      <c r="E19" t="s">
        <v>246</v>
      </c>
      <c r="F19" t="s">
        <v>49</v>
      </c>
      <c r="G19" t="s">
        <v>99</v>
      </c>
      <c r="H19" t="s">
        <v>118</v>
      </c>
      <c r="I19" t="s">
        <v>152</v>
      </c>
      <c r="J19" t="s">
        <v>42</v>
      </c>
      <c r="K19" s="2">
        <v>105069</v>
      </c>
      <c r="L19" s="2">
        <v>123981</v>
      </c>
      <c r="M19" s="2">
        <v>199609</v>
      </c>
      <c r="N19" s="3">
        <v>1421</v>
      </c>
      <c r="O19" s="3">
        <v>4</v>
      </c>
      <c r="P19" s="4">
        <v>0.43999999999999995</v>
      </c>
      <c r="Q19" s="5">
        <v>4</v>
      </c>
      <c r="R19" s="6">
        <v>74.88</v>
      </c>
      <c r="S19" s="6">
        <v>18.920000000000002</v>
      </c>
    </row>
    <row r="20" spans="1:19">
      <c r="A20" t="s">
        <v>277</v>
      </c>
      <c r="B20" t="s">
        <v>278</v>
      </c>
      <c r="C20" s="1">
        <v>45840</v>
      </c>
      <c r="D20" t="s">
        <v>69</v>
      </c>
      <c r="E20" t="s">
        <v>253</v>
      </c>
      <c r="F20" t="s">
        <v>54</v>
      </c>
      <c r="G20" t="s">
        <v>101</v>
      </c>
      <c r="H20" t="s">
        <v>111</v>
      </c>
      <c r="I20" t="s">
        <v>151</v>
      </c>
      <c r="J20" t="s">
        <v>42</v>
      </c>
      <c r="K20" s="2">
        <v>122426</v>
      </c>
      <c r="L20" s="2">
        <v>115080</v>
      </c>
      <c r="M20" s="2">
        <v>142699</v>
      </c>
      <c r="N20" s="3">
        <v>1494</v>
      </c>
      <c r="O20" s="3">
        <v>9</v>
      </c>
      <c r="P20" s="4">
        <v>0.51</v>
      </c>
      <c r="Q20" s="5">
        <v>1</v>
      </c>
      <c r="R20" s="6">
        <v>75.02</v>
      </c>
      <c r="S20" s="6">
        <v>19.03</v>
      </c>
    </row>
    <row r="21" spans="1:19">
      <c r="A21" t="s">
        <v>279</v>
      </c>
      <c r="B21" t="s">
        <v>280</v>
      </c>
      <c r="C21" s="1">
        <v>45878</v>
      </c>
      <c r="D21" t="s">
        <v>70</v>
      </c>
      <c r="E21" t="s">
        <v>253</v>
      </c>
      <c r="F21" t="s">
        <v>55</v>
      </c>
      <c r="G21" t="s">
        <v>98</v>
      </c>
      <c r="H21" t="s">
        <v>7</v>
      </c>
      <c r="I21" t="s">
        <v>149</v>
      </c>
      <c r="J21" t="s">
        <v>45</v>
      </c>
      <c r="K21" s="2">
        <v>139783</v>
      </c>
      <c r="L21" s="2">
        <v>149568</v>
      </c>
      <c r="M21" s="2">
        <v>201917</v>
      </c>
      <c r="N21" s="3">
        <v>1567</v>
      </c>
      <c r="O21" s="3">
        <v>14</v>
      </c>
      <c r="P21" s="4">
        <v>0.18</v>
      </c>
      <c r="Q21" s="5">
        <v>7</v>
      </c>
      <c r="R21" s="6">
        <v>75.16</v>
      </c>
      <c r="S21" s="6">
        <v>19.14</v>
      </c>
    </row>
    <row r="22" spans="1:19">
      <c r="A22" t="s">
        <v>281</v>
      </c>
      <c r="B22" t="s">
        <v>282</v>
      </c>
      <c r="C22" s="1">
        <v>45916</v>
      </c>
      <c r="D22" t="s">
        <v>71</v>
      </c>
      <c r="E22" t="s">
        <v>253</v>
      </c>
      <c r="F22" t="s">
        <v>43</v>
      </c>
      <c r="G22" t="s">
        <v>101</v>
      </c>
      <c r="H22" t="s">
        <v>115</v>
      </c>
      <c r="I22" t="s">
        <v>147</v>
      </c>
      <c r="J22" t="s">
        <v>48</v>
      </c>
      <c r="K22" s="2">
        <v>157140</v>
      </c>
      <c r="L22" s="2">
        <v>130426</v>
      </c>
      <c r="M22" s="2">
        <v>190422</v>
      </c>
      <c r="N22" s="3">
        <v>220</v>
      </c>
      <c r="O22" s="3">
        <v>7</v>
      </c>
      <c r="P22" s="4">
        <v>0.35</v>
      </c>
      <c r="Q22" s="5">
        <v>7</v>
      </c>
      <c r="R22" s="6">
        <v>72.5</v>
      </c>
      <c r="S22" s="6">
        <v>19.25</v>
      </c>
    </row>
    <row r="23" spans="1:19">
      <c r="A23" t="s">
        <v>283</v>
      </c>
      <c r="B23" t="s">
        <v>284</v>
      </c>
      <c r="C23" s="1">
        <v>45953</v>
      </c>
      <c r="D23" t="s">
        <v>72</v>
      </c>
      <c r="E23" t="s">
        <v>260</v>
      </c>
      <c r="F23" t="s">
        <v>47</v>
      </c>
      <c r="G23" t="s">
        <v>98</v>
      </c>
      <c r="H23" t="s">
        <v>124</v>
      </c>
      <c r="I23" t="s">
        <v>156</v>
      </c>
      <c r="J23" t="s">
        <v>46</v>
      </c>
      <c r="K23" s="2">
        <v>174497</v>
      </c>
      <c r="L23" s="2">
        <v>167517</v>
      </c>
      <c r="M23" s="2">
        <v>263002</v>
      </c>
      <c r="N23" s="3">
        <v>293</v>
      </c>
      <c r="O23" s="3">
        <v>12</v>
      </c>
      <c r="P23" s="4">
        <v>1</v>
      </c>
      <c r="Q23" s="5">
        <v>4</v>
      </c>
      <c r="R23" s="6">
        <v>72.64</v>
      </c>
      <c r="S23" s="6">
        <v>19.36</v>
      </c>
    </row>
    <row r="24" spans="1:19">
      <c r="A24" t="s">
        <v>285</v>
      </c>
      <c r="B24" t="s">
        <v>286</v>
      </c>
      <c r="C24" s="1">
        <v>45966</v>
      </c>
      <c r="D24" t="s">
        <v>73</v>
      </c>
      <c r="E24" t="s">
        <v>260</v>
      </c>
      <c r="F24" t="s">
        <v>49</v>
      </c>
      <c r="G24" t="s">
        <v>100</v>
      </c>
      <c r="H24" t="s">
        <v>118</v>
      </c>
      <c r="I24" t="s">
        <v>154</v>
      </c>
      <c r="J24" t="s">
        <v>42</v>
      </c>
      <c r="K24" s="2">
        <v>191854</v>
      </c>
      <c r="L24" s="2">
        <v>209121</v>
      </c>
      <c r="M24" s="2">
        <v>250945</v>
      </c>
      <c r="N24" s="3">
        <v>366</v>
      </c>
      <c r="O24" s="3">
        <v>5</v>
      </c>
      <c r="P24" s="4">
        <v>0.79</v>
      </c>
      <c r="Q24" s="5">
        <v>1</v>
      </c>
      <c r="R24" s="6">
        <v>72.78</v>
      </c>
      <c r="S24" s="6">
        <v>19.47</v>
      </c>
    </row>
    <row r="25" spans="1:19">
      <c r="A25" t="s">
        <v>287</v>
      </c>
      <c r="B25" t="s">
        <v>288</v>
      </c>
      <c r="C25" s="1">
        <v>46003</v>
      </c>
      <c r="D25" t="s">
        <v>74</v>
      </c>
      <c r="E25" t="s">
        <v>260</v>
      </c>
      <c r="F25" t="s">
        <v>54</v>
      </c>
      <c r="G25" t="s">
        <v>93</v>
      </c>
      <c r="H25" t="s">
        <v>111</v>
      </c>
      <c r="I25" t="s">
        <v>152</v>
      </c>
      <c r="J25" t="s">
        <v>45</v>
      </c>
      <c r="K25" s="2">
        <v>209211</v>
      </c>
      <c r="L25" s="2">
        <v>177829</v>
      </c>
      <c r="M25" s="2">
        <v>232956</v>
      </c>
      <c r="N25" s="3">
        <v>439</v>
      </c>
      <c r="O25" s="3">
        <v>10</v>
      </c>
      <c r="P25" s="4">
        <v>0.26</v>
      </c>
      <c r="Q25" s="5">
        <v>8</v>
      </c>
      <c r="R25" s="6">
        <v>72.92</v>
      </c>
      <c r="S25" s="6">
        <v>19.579999999999998</v>
      </c>
    </row>
    <row r="26" spans="1:19">
      <c r="A26" t="s">
        <v>289</v>
      </c>
      <c r="B26" t="s">
        <v>290</v>
      </c>
      <c r="C26" s="1">
        <v>45676</v>
      </c>
      <c r="D26" t="s">
        <v>63</v>
      </c>
      <c r="E26" t="s">
        <v>239</v>
      </c>
      <c r="F26" t="s">
        <v>55</v>
      </c>
      <c r="G26" t="s">
        <v>99</v>
      </c>
      <c r="H26" t="s">
        <v>7</v>
      </c>
      <c r="I26" t="s">
        <v>151</v>
      </c>
      <c r="J26" t="s">
        <v>48</v>
      </c>
      <c r="K26" s="2">
        <v>226568</v>
      </c>
      <c r="L26" s="2">
        <v>222037</v>
      </c>
      <c r="M26" s="2">
        <v>315293</v>
      </c>
      <c r="N26" s="3">
        <v>512</v>
      </c>
      <c r="O26" s="3">
        <v>3</v>
      </c>
      <c r="P26" s="4">
        <v>0.47</v>
      </c>
      <c r="Q26" s="5">
        <v>7</v>
      </c>
      <c r="R26" s="6">
        <v>73.06</v>
      </c>
      <c r="S26" s="6">
        <v>19.690000000000001</v>
      </c>
    </row>
    <row r="27" spans="1:19">
      <c r="A27" t="s">
        <v>291</v>
      </c>
      <c r="B27" t="s">
        <v>292</v>
      </c>
      <c r="C27" s="1">
        <v>45689</v>
      </c>
      <c r="D27" t="s">
        <v>64</v>
      </c>
      <c r="E27" t="s">
        <v>239</v>
      </c>
      <c r="F27" t="s">
        <v>43</v>
      </c>
      <c r="G27" t="s">
        <v>93</v>
      </c>
      <c r="H27" t="s">
        <v>115</v>
      </c>
      <c r="I27" t="s">
        <v>149</v>
      </c>
      <c r="J27" t="s">
        <v>46</v>
      </c>
      <c r="K27" s="2">
        <v>243925</v>
      </c>
      <c r="L27" s="2">
        <v>270757</v>
      </c>
      <c r="M27" s="2">
        <v>414258</v>
      </c>
      <c r="N27" s="3">
        <v>585</v>
      </c>
      <c r="O27" s="3">
        <v>8</v>
      </c>
      <c r="P27" s="4">
        <v>1</v>
      </c>
      <c r="Q27" s="5">
        <v>4</v>
      </c>
      <c r="R27" s="6">
        <v>73.2</v>
      </c>
      <c r="S27" s="6">
        <v>19.8</v>
      </c>
    </row>
    <row r="28" spans="1:19">
      <c r="A28" t="s">
        <v>293</v>
      </c>
      <c r="B28" t="s">
        <v>294</v>
      </c>
      <c r="C28" s="1">
        <v>45724</v>
      </c>
      <c r="D28" t="s">
        <v>65</v>
      </c>
      <c r="E28" t="s">
        <v>239</v>
      </c>
      <c r="F28" t="s">
        <v>47</v>
      </c>
      <c r="G28" t="s">
        <v>99</v>
      </c>
      <c r="H28" t="s">
        <v>124</v>
      </c>
      <c r="I28" t="s">
        <v>147</v>
      </c>
      <c r="J28" t="s">
        <v>42</v>
      </c>
      <c r="K28" s="2">
        <v>261282</v>
      </c>
      <c r="L28" s="2">
        <v>227315</v>
      </c>
      <c r="M28" s="2">
        <v>372797</v>
      </c>
      <c r="N28" s="3">
        <v>658</v>
      </c>
      <c r="O28" s="3">
        <v>13</v>
      </c>
      <c r="P28" s="4">
        <v>0.52</v>
      </c>
      <c r="Q28" s="5">
        <v>1</v>
      </c>
      <c r="R28" s="6">
        <v>73.34</v>
      </c>
      <c r="S28" s="6">
        <v>19.91</v>
      </c>
    </row>
    <row r="29" spans="1:19">
      <c r="A29" t="s">
        <v>295</v>
      </c>
      <c r="B29" t="s">
        <v>296</v>
      </c>
      <c r="C29" s="1">
        <v>45762</v>
      </c>
      <c r="D29" t="s">
        <v>66</v>
      </c>
      <c r="E29" t="s">
        <v>246</v>
      </c>
      <c r="F29" t="s">
        <v>49</v>
      </c>
      <c r="G29" t="s">
        <v>101</v>
      </c>
      <c r="H29" t="s">
        <v>118</v>
      </c>
      <c r="I29" t="s">
        <v>156</v>
      </c>
      <c r="J29" t="s">
        <v>42</v>
      </c>
      <c r="K29" s="2">
        <v>278639</v>
      </c>
      <c r="L29" s="2">
        <v>278639</v>
      </c>
      <c r="M29" s="2">
        <v>353872</v>
      </c>
      <c r="N29" s="3">
        <v>731</v>
      </c>
      <c r="O29" s="3">
        <v>6</v>
      </c>
      <c r="P29" s="4">
        <v>0.59</v>
      </c>
      <c r="Q29" s="5">
        <v>4</v>
      </c>
      <c r="R29" s="6">
        <v>73.48</v>
      </c>
      <c r="S29" s="6">
        <v>20.02</v>
      </c>
    </row>
    <row r="30" spans="1:19">
      <c r="A30" t="s">
        <v>297</v>
      </c>
      <c r="B30" t="s">
        <v>298</v>
      </c>
      <c r="C30" s="1">
        <v>45799</v>
      </c>
      <c r="D30" t="s">
        <v>67</v>
      </c>
      <c r="E30" t="s">
        <v>246</v>
      </c>
      <c r="F30" t="s">
        <v>54</v>
      </c>
      <c r="G30" t="s">
        <v>98</v>
      </c>
      <c r="H30" t="s">
        <v>111</v>
      </c>
      <c r="I30" t="s">
        <v>154</v>
      </c>
      <c r="J30" t="s">
        <v>45</v>
      </c>
      <c r="K30" s="2">
        <v>295996</v>
      </c>
      <c r="L30" s="2">
        <v>334475</v>
      </c>
      <c r="M30" s="2">
        <v>461575</v>
      </c>
      <c r="N30" s="3">
        <v>804</v>
      </c>
      <c r="O30" s="3">
        <v>11</v>
      </c>
      <c r="P30" s="4">
        <v>0.36</v>
      </c>
      <c r="Q30" s="5">
        <v>7</v>
      </c>
      <c r="R30" s="6">
        <v>73.62</v>
      </c>
      <c r="S30" s="6">
        <v>20.13</v>
      </c>
    </row>
    <row r="31" spans="1:19">
      <c r="A31" t="s">
        <v>299</v>
      </c>
      <c r="B31" t="s">
        <v>300</v>
      </c>
      <c r="C31" s="1">
        <v>45812</v>
      </c>
      <c r="D31" t="s">
        <v>68</v>
      </c>
      <c r="E31" t="s">
        <v>246</v>
      </c>
      <c r="F31" t="s">
        <v>55</v>
      </c>
      <c r="G31" t="s">
        <v>100</v>
      </c>
      <c r="H31" t="s">
        <v>7</v>
      </c>
      <c r="I31" t="s">
        <v>152</v>
      </c>
      <c r="J31" t="s">
        <v>48</v>
      </c>
      <c r="K31" s="2">
        <v>68353</v>
      </c>
      <c r="L31" s="2">
        <v>60834</v>
      </c>
      <c r="M31" s="2">
        <v>90643</v>
      </c>
      <c r="N31" s="3">
        <v>877</v>
      </c>
      <c r="O31" s="3">
        <v>4</v>
      </c>
      <c r="P31" s="4">
        <v>0.62</v>
      </c>
      <c r="Q31" s="5">
        <v>8</v>
      </c>
      <c r="R31" s="6">
        <v>73.760000000000005</v>
      </c>
      <c r="S31" s="6">
        <v>20.239999999999998</v>
      </c>
    </row>
    <row r="32" spans="1:19">
      <c r="A32" t="s">
        <v>301</v>
      </c>
      <c r="B32" t="s">
        <v>302</v>
      </c>
      <c r="C32" s="1">
        <v>45849</v>
      </c>
      <c r="D32" t="s">
        <v>69</v>
      </c>
      <c r="E32" t="s">
        <v>253</v>
      </c>
      <c r="F32" t="s">
        <v>43</v>
      </c>
      <c r="G32" t="s">
        <v>98</v>
      </c>
      <c r="H32" t="s">
        <v>115</v>
      </c>
      <c r="I32" t="s">
        <v>151</v>
      </c>
      <c r="J32" t="s">
        <v>46</v>
      </c>
      <c r="K32" s="2">
        <v>85710</v>
      </c>
      <c r="L32" s="2">
        <v>87424</v>
      </c>
      <c r="M32" s="2">
        <v>139878</v>
      </c>
      <c r="N32" s="3">
        <v>950</v>
      </c>
      <c r="O32" s="3">
        <v>9</v>
      </c>
      <c r="P32" s="4">
        <v>1</v>
      </c>
      <c r="Q32" s="5">
        <v>1</v>
      </c>
      <c r="R32" s="6">
        <v>73.900000000000006</v>
      </c>
      <c r="S32" s="6">
        <v>18.7</v>
      </c>
    </row>
    <row r="33" spans="1:19">
      <c r="A33" t="s">
        <v>303</v>
      </c>
      <c r="B33" t="s">
        <v>304</v>
      </c>
      <c r="C33" s="1">
        <v>45887</v>
      </c>
      <c r="D33" t="s">
        <v>70</v>
      </c>
      <c r="E33" t="s">
        <v>253</v>
      </c>
      <c r="F33" t="s">
        <v>47</v>
      </c>
      <c r="G33" t="s">
        <v>100</v>
      </c>
      <c r="H33" t="s">
        <v>124</v>
      </c>
      <c r="I33" t="s">
        <v>149</v>
      </c>
      <c r="J33" t="s">
        <v>42</v>
      </c>
      <c r="K33" s="2">
        <v>103067</v>
      </c>
      <c r="L33" s="2">
        <v>118527</v>
      </c>
      <c r="M33" s="2">
        <v>145788</v>
      </c>
      <c r="N33" s="3">
        <v>1023</v>
      </c>
      <c r="O33" s="3">
        <v>14</v>
      </c>
      <c r="P33" s="4">
        <v>0.87</v>
      </c>
      <c r="Q33" s="5">
        <v>4</v>
      </c>
      <c r="R33" s="6">
        <v>74.040000000000006</v>
      </c>
      <c r="S33" s="6">
        <v>18.809999999999999</v>
      </c>
    </row>
    <row r="34" spans="1:19">
      <c r="A34" t="s">
        <v>305</v>
      </c>
      <c r="B34" t="s">
        <v>306</v>
      </c>
      <c r="C34" s="1">
        <v>45925</v>
      </c>
      <c r="D34" t="s">
        <v>71</v>
      </c>
      <c r="E34" t="s">
        <v>253</v>
      </c>
      <c r="F34" t="s">
        <v>49</v>
      </c>
      <c r="G34" t="s">
        <v>93</v>
      </c>
      <c r="H34" t="s">
        <v>118</v>
      </c>
      <c r="I34" t="s">
        <v>147</v>
      </c>
      <c r="J34" t="s">
        <v>45</v>
      </c>
      <c r="K34" s="2">
        <v>120424</v>
      </c>
      <c r="L34" s="2">
        <v>109586</v>
      </c>
      <c r="M34" s="2">
        <v>146845</v>
      </c>
      <c r="N34" s="3">
        <v>1096</v>
      </c>
      <c r="O34" s="3">
        <v>7</v>
      </c>
      <c r="P34" s="4">
        <v>0.43999999999999995</v>
      </c>
      <c r="Q34" s="5">
        <v>8</v>
      </c>
      <c r="R34" s="6">
        <v>74.180000000000007</v>
      </c>
      <c r="S34" s="6">
        <v>18.920000000000002</v>
      </c>
    </row>
    <row r="35" spans="1:19">
      <c r="A35" t="s">
        <v>307</v>
      </c>
      <c r="B35" t="s">
        <v>308</v>
      </c>
      <c r="C35" s="1">
        <v>45937</v>
      </c>
      <c r="D35" t="s">
        <v>72</v>
      </c>
      <c r="E35" t="s">
        <v>260</v>
      </c>
      <c r="F35" t="s">
        <v>54</v>
      </c>
      <c r="G35" t="s">
        <v>99</v>
      </c>
      <c r="H35" t="s">
        <v>111</v>
      </c>
      <c r="I35" t="s">
        <v>156</v>
      </c>
      <c r="J35" t="s">
        <v>48</v>
      </c>
      <c r="K35" s="2">
        <v>137781</v>
      </c>
      <c r="L35" s="2">
        <v>143292</v>
      </c>
      <c r="M35" s="2">
        <v>207773</v>
      </c>
      <c r="N35" s="3">
        <v>1169</v>
      </c>
      <c r="O35" s="3">
        <v>12</v>
      </c>
      <c r="P35" s="4">
        <v>0.74</v>
      </c>
      <c r="Q35" s="5">
        <v>8</v>
      </c>
      <c r="R35" s="6">
        <v>74.319999999999993</v>
      </c>
      <c r="S35" s="6">
        <v>19.03</v>
      </c>
    </row>
    <row r="36" spans="1:19">
      <c r="A36" t="s">
        <v>309</v>
      </c>
      <c r="B36" t="s">
        <v>310</v>
      </c>
      <c r="C36" s="1">
        <v>45975</v>
      </c>
      <c r="D36" t="s">
        <v>73</v>
      </c>
      <c r="E36" t="s">
        <v>260</v>
      </c>
      <c r="F36" t="s">
        <v>55</v>
      </c>
      <c r="G36" t="s">
        <v>101</v>
      </c>
      <c r="H36" t="s">
        <v>7</v>
      </c>
      <c r="I36" t="s">
        <v>154</v>
      </c>
      <c r="J36" t="s">
        <v>46</v>
      </c>
      <c r="K36" s="2">
        <v>155138</v>
      </c>
      <c r="L36" s="2">
        <v>181511</v>
      </c>
      <c r="M36" s="2">
        <v>283157</v>
      </c>
      <c r="N36" s="3">
        <v>1242</v>
      </c>
      <c r="O36" s="3">
        <v>5</v>
      </c>
      <c r="P36" s="4">
        <v>1</v>
      </c>
      <c r="Q36" s="5">
        <v>1</v>
      </c>
      <c r="R36" s="6">
        <v>74.459999999999994</v>
      </c>
      <c r="S36" s="6">
        <v>19.14</v>
      </c>
    </row>
    <row r="37" spans="1:19">
      <c r="A37" t="s">
        <v>311</v>
      </c>
      <c r="B37" t="s">
        <v>312</v>
      </c>
      <c r="C37" s="1">
        <v>46012</v>
      </c>
      <c r="D37" t="s">
        <v>74</v>
      </c>
      <c r="E37" t="s">
        <v>260</v>
      </c>
      <c r="F37" t="s">
        <v>43</v>
      </c>
      <c r="G37" t="s">
        <v>99</v>
      </c>
      <c r="H37" t="s">
        <v>115</v>
      </c>
      <c r="I37" t="s">
        <v>152</v>
      </c>
      <c r="J37" t="s">
        <v>42</v>
      </c>
      <c r="K37" s="2">
        <v>172495</v>
      </c>
      <c r="L37" s="2">
        <v>160420</v>
      </c>
      <c r="M37" s="2">
        <v>190900</v>
      </c>
      <c r="N37" s="3">
        <v>1315</v>
      </c>
      <c r="O37" s="3">
        <v>10</v>
      </c>
      <c r="P37" s="4">
        <v>0.6</v>
      </c>
      <c r="Q37" s="5">
        <v>4</v>
      </c>
      <c r="R37" s="6">
        <v>74.599999999999994</v>
      </c>
      <c r="S37" s="6">
        <v>19.25</v>
      </c>
    </row>
    <row r="38" spans="1:19">
      <c r="A38" t="s">
        <v>313</v>
      </c>
      <c r="B38" t="s">
        <v>314</v>
      </c>
      <c r="C38" s="1">
        <v>45660</v>
      </c>
      <c r="D38" t="s">
        <v>63</v>
      </c>
      <c r="E38" t="s">
        <v>239</v>
      </c>
      <c r="F38" t="s">
        <v>47</v>
      </c>
      <c r="G38" t="s">
        <v>101</v>
      </c>
      <c r="H38" t="s">
        <v>124</v>
      </c>
      <c r="I38" t="s">
        <v>151</v>
      </c>
      <c r="J38" t="s">
        <v>42</v>
      </c>
      <c r="K38" s="2">
        <v>189852</v>
      </c>
      <c r="L38" s="2">
        <v>201243</v>
      </c>
      <c r="M38" s="2">
        <v>261616</v>
      </c>
      <c r="N38" s="3">
        <v>1388</v>
      </c>
      <c r="O38" s="3">
        <v>3</v>
      </c>
      <c r="P38" s="4">
        <v>0.66999999999999993</v>
      </c>
      <c r="Q38" s="5">
        <v>1</v>
      </c>
      <c r="R38" s="6">
        <v>74.739999999999995</v>
      </c>
      <c r="S38" s="6">
        <v>19.36</v>
      </c>
    </row>
    <row r="39" spans="1:19">
      <c r="A39" t="s">
        <v>315</v>
      </c>
      <c r="B39" t="s">
        <v>316</v>
      </c>
      <c r="C39" s="1">
        <v>45698</v>
      </c>
      <c r="D39" t="s">
        <v>64</v>
      </c>
      <c r="E39" t="s">
        <v>239</v>
      </c>
      <c r="F39" t="s">
        <v>49</v>
      </c>
      <c r="G39" t="s">
        <v>98</v>
      </c>
      <c r="H39" t="s">
        <v>118</v>
      </c>
      <c r="I39" t="s">
        <v>149</v>
      </c>
      <c r="J39" t="s">
        <v>45</v>
      </c>
      <c r="K39" s="2">
        <v>207209</v>
      </c>
      <c r="L39" s="2">
        <v>169911</v>
      </c>
      <c r="M39" s="2">
        <v>239575</v>
      </c>
      <c r="N39" s="3">
        <v>1461</v>
      </c>
      <c r="O39" s="3">
        <v>8</v>
      </c>
      <c r="P39" s="4">
        <v>0.19</v>
      </c>
      <c r="Q39" s="5">
        <v>7</v>
      </c>
      <c r="R39" s="6">
        <v>74.88</v>
      </c>
      <c r="S39" s="6">
        <v>19.47</v>
      </c>
    </row>
    <row r="40" spans="1:19">
      <c r="A40" t="s">
        <v>317</v>
      </c>
      <c r="B40" t="s">
        <v>318</v>
      </c>
      <c r="C40" s="1">
        <v>45733</v>
      </c>
      <c r="D40" t="s">
        <v>65</v>
      </c>
      <c r="E40" t="s">
        <v>239</v>
      </c>
      <c r="F40" t="s">
        <v>54</v>
      </c>
      <c r="G40" t="s">
        <v>100</v>
      </c>
      <c r="H40" t="s">
        <v>111</v>
      </c>
      <c r="I40" t="s">
        <v>147</v>
      </c>
      <c r="J40" t="s">
        <v>48</v>
      </c>
      <c r="K40" s="2">
        <v>224566</v>
      </c>
      <c r="L40" s="2">
        <v>213338</v>
      </c>
      <c r="M40" s="2">
        <v>324274</v>
      </c>
      <c r="N40" s="3">
        <v>1534</v>
      </c>
      <c r="O40" s="3">
        <v>13</v>
      </c>
      <c r="P40" s="4">
        <v>0.39</v>
      </c>
      <c r="Q40" s="5">
        <v>9</v>
      </c>
      <c r="R40" s="6">
        <v>75.02</v>
      </c>
      <c r="S40" s="6">
        <v>19.579999999999998</v>
      </c>
    </row>
    <row r="41" spans="1:19">
      <c r="A41" t="s">
        <v>319</v>
      </c>
      <c r="B41" t="s">
        <v>320</v>
      </c>
      <c r="C41" s="1">
        <v>45771</v>
      </c>
      <c r="D41" t="s">
        <v>66</v>
      </c>
      <c r="E41" t="s">
        <v>246</v>
      </c>
      <c r="F41" t="s">
        <v>55</v>
      </c>
      <c r="G41" t="s">
        <v>93</v>
      </c>
      <c r="H41" t="s">
        <v>7</v>
      </c>
      <c r="I41" t="s">
        <v>156</v>
      </c>
      <c r="J41" t="s">
        <v>46</v>
      </c>
      <c r="K41" s="2">
        <v>241923</v>
      </c>
      <c r="L41" s="2">
        <v>261277</v>
      </c>
      <c r="M41" s="2">
        <v>425882</v>
      </c>
      <c r="N41" s="3">
        <v>187</v>
      </c>
      <c r="O41" s="3">
        <v>6</v>
      </c>
      <c r="P41" s="4">
        <v>1</v>
      </c>
      <c r="Q41" s="5">
        <v>4</v>
      </c>
      <c r="R41" s="6">
        <v>75.16</v>
      </c>
      <c r="S41" s="6">
        <v>19.690000000000001</v>
      </c>
    </row>
    <row r="42" spans="1:19">
      <c r="A42" t="s">
        <v>321</v>
      </c>
      <c r="B42" t="s">
        <v>322</v>
      </c>
      <c r="C42" s="1">
        <v>45783</v>
      </c>
      <c r="D42" t="s">
        <v>67</v>
      </c>
      <c r="E42" t="s">
        <v>246</v>
      </c>
      <c r="F42" t="s">
        <v>43</v>
      </c>
      <c r="G42" t="s">
        <v>100</v>
      </c>
      <c r="H42" t="s">
        <v>115</v>
      </c>
      <c r="I42" t="s">
        <v>154</v>
      </c>
      <c r="J42" t="s">
        <v>42</v>
      </c>
      <c r="K42" s="2">
        <v>259280</v>
      </c>
      <c r="L42" s="2">
        <v>217795</v>
      </c>
      <c r="M42" s="2">
        <v>274422</v>
      </c>
      <c r="N42" s="3">
        <v>260</v>
      </c>
      <c r="O42" s="3">
        <v>11</v>
      </c>
      <c r="P42" s="4">
        <v>0.39999999999999997</v>
      </c>
      <c r="Q42" s="5">
        <v>1</v>
      </c>
      <c r="R42" s="6">
        <v>72.5</v>
      </c>
      <c r="S42" s="6">
        <v>19.8</v>
      </c>
    </row>
    <row r="43" spans="1:19">
      <c r="A43" t="s">
        <v>323</v>
      </c>
      <c r="B43" t="s">
        <v>324</v>
      </c>
      <c r="C43" s="1">
        <v>45821</v>
      </c>
      <c r="D43" t="s">
        <v>68</v>
      </c>
      <c r="E43" t="s">
        <v>246</v>
      </c>
      <c r="F43" t="s">
        <v>47</v>
      </c>
      <c r="G43" t="s">
        <v>93</v>
      </c>
      <c r="H43" t="s">
        <v>124</v>
      </c>
      <c r="I43" t="s">
        <v>152</v>
      </c>
      <c r="J43" t="s">
        <v>45</v>
      </c>
      <c r="K43" s="2">
        <v>276637</v>
      </c>
      <c r="L43" s="2">
        <v>268338</v>
      </c>
      <c r="M43" s="2">
        <v>367623</v>
      </c>
      <c r="N43" s="3">
        <v>333</v>
      </c>
      <c r="O43" s="3">
        <v>4</v>
      </c>
      <c r="P43" s="4">
        <v>0.27</v>
      </c>
      <c r="Q43" s="5">
        <v>8</v>
      </c>
      <c r="R43" s="6">
        <v>72.64</v>
      </c>
      <c r="S43" s="6">
        <v>19.91</v>
      </c>
    </row>
    <row r="44" spans="1:19">
      <c r="A44" t="s">
        <v>325</v>
      </c>
      <c r="B44" t="s">
        <v>326</v>
      </c>
      <c r="C44" s="1">
        <v>45858</v>
      </c>
      <c r="D44" t="s">
        <v>69</v>
      </c>
      <c r="E44" t="s">
        <v>253</v>
      </c>
      <c r="F44" t="s">
        <v>49</v>
      </c>
      <c r="G44" t="s">
        <v>99</v>
      </c>
      <c r="H44" t="s">
        <v>118</v>
      </c>
      <c r="I44" t="s">
        <v>151</v>
      </c>
      <c r="J44" t="s">
        <v>48</v>
      </c>
      <c r="K44" s="2">
        <v>293994</v>
      </c>
      <c r="L44" s="2">
        <v>323393</v>
      </c>
      <c r="M44" s="2">
        <v>478622</v>
      </c>
      <c r="N44" s="3">
        <v>406</v>
      </c>
      <c r="O44" s="3">
        <v>9</v>
      </c>
      <c r="P44" s="4">
        <v>0.51</v>
      </c>
      <c r="Q44" s="5">
        <v>9</v>
      </c>
      <c r="R44" s="6">
        <v>72.78</v>
      </c>
      <c r="S44" s="6">
        <v>20.02</v>
      </c>
    </row>
    <row r="45" spans="1:19">
      <c r="A45" t="s">
        <v>327</v>
      </c>
      <c r="B45" t="s">
        <v>328</v>
      </c>
      <c r="C45" s="1">
        <v>45871</v>
      </c>
      <c r="D45" t="s">
        <v>70</v>
      </c>
      <c r="E45" t="s">
        <v>253</v>
      </c>
      <c r="F45" t="s">
        <v>54</v>
      </c>
      <c r="G45" t="s">
        <v>101</v>
      </c>
      <c r="H45" t="s">
        <v>111</v>
      </c>
      <c r="I45" t="s">
        <v>149</v>
      </c>
      <c r="J45" t="s">
        <v>46</v>
      </c>
      <c r="K45" s="2">
        <v>66351</v>
      </c>
      <c r="L45" s="2">
        <v>57062</v>
      </c>
      <c r="M45" s="2">
        <v>90729</v>
      </c>
      <c r="N45" s="3">
        <v>479</v>
      </c>
      <c r="O45" s="3">
        <v>14</v>
      </c>
      <c r="P45" s="4">
        <v>1</v>
      </c>
      <c r="Q45" s="5">
        <v>4</v>
      </c>
      <c r="R45" s="6">
        <v>72.92</v>
      </c>
      <c r="S45" s="6">
        <v>20.13</v>
      </c>
    </row>
    <row r="46" spans="1:19">
      <c r="A46" t="s">
        <v>329</v>
      </c>
      <c r="B46" t="s">
        <v>330</v>
      </c>
      <c r="C46" s="1">
        <v>45909</v>
      </c>
      <c r="D46" t="s">
        <v>71</v>
      </c>
      <c r="E46" t="s">
        <v>253</v>
      </c>
      <c r="F46" t="s">
        <v>55</v>
      </c>
      <c r="G46" t="s">
        <v>98</v>
      </c>
      <c r="H46" t="s">
        <v>7</v>
      </c>
      <c r="I46" t="s">
        <v>147</v>
      </c>
      <c r="J46" t="s">
        <v>42</v>
      </c>
      <c r="K46" s="2">
        <v>83708</v>
      </c>
      <c r="L46" s="2">
        <v>82871</v>
      </c>
      <c r="M46" s="2">
        <v>101103</v>
      </c>
      <c r="N46" s="3">
        <v>552</v>
      </c>
      <c r="O46" s="3">
        <v>7</v>
      </c>
      <c r="P46" s="4">
        <v>0.67999999999999994</v>
      </c>
      <c r="Q46" s="5">
        <v>1</v>
      </c>
      <c r="R46" s="6">
        <v>73.06</v>
      </c>
      <c r="S46" s="6">
        <v>20.239999999999998</v>
      </c>
    </row>
    <row r="47" spans="1:19">
      <c r="A47" t="s">
        <v>331</v>
      </c>
      <c r="B47" t="s">
        <v>332</v>
      </c>
      <c r="C47" s="1">
        <v>45946</v>
      </c>
      <c r="D47" t="s">
        <v>72</v>
      </c>
      <c r="E47" t="s">
        <v>260</v>
      </c>
      <c r="F47" t="s">
        <v>43</v>
      </c>
      <c r="G47" t="s">
        <v>101</v>
      </c>
      <c r="H47" t="s">
        <v>115</v>
      </c>
      <c r="I47" t="s">
        <v>156</v>
      </c>
      <c r="J47" t="s">
        <v>42</v>
      </c>
      <c r="K47" s="2">
        <v>101065</v>
      </c>
      <c r="L47" s="2">
        <v>113193</v>
      </c>
      <c r="M47" s="2">
        <v>150547</v>
      </c>
      <c r="N47" s="3">
        <v>625</v>
      </c>
      <c r="O47" s="3">
        <v>12</v>
      </c>
      <c r="P47" s="4">
        <v>0.75</v>
      </c>
      <c r="Q47" s="5">
        <v>4</v>
      </c>
      <c r="R47" s="6">
        <v>73.2</v>
      </c>
      <c r="S47" s="6">
        <v>18.7</v>
      </c>
    </row>
    <row r="48" spans="1:19">
      <c r="A48" t="s">
        <v>333</v>
      </c>
      <c r="B48" t="s">
        <v>334</v>
      </c>
      <c r="C48" s="1">
        <v>45984</v>
      </c>
      <c r="D48" t="s">
        <v>73</v>
      </c>
      <c r="E48" t="s">
        <v>260</v>
      </c>
      <c r="F48" t="s">
        <v>47</v>
      </c>
      <c r="G48" t="s">
        <v>98</v>
      </c>
      <c r="H48" t="s">
        <v>124</v>
      </c>
      <c r="I48" t="s">
        <v>154</v>
      </c>
      <c r="J48" t="s">
        <v>45</v>
      </c>
      <c r="K48" s="2">
        <v>118422</v>
      </c>
      <c r="L48" s="2">
        <v>104211</v>
      </c>
      <c r="M48" s="2">
        <v>150064</v>
      </c>
      <c r="N48" s="3">
        <v>698</v>
      </c>
      <c r="O48" s="3">
        <v>5</v>
      </c>
      <c r="P48" s="4">
        <v>0.37</v>
      </c>
      <c r="Q48" s="5">
        <v>7</v>
      </c>
      <c r="R48" s="6">
        <v>73.34</v>
      </c>
      <c r="S48" s="6">
        <v>18.809999999999999</v>
      </c>
    </row>
    <row r="49" spans="1:19">
      <c r="A49" t="s">
        <v>335</v>
      </c>
      <c r="B49" t="s">
        <v>336</v>
      </c>
      <c r="C49" s="1">
        <v>45996</v>
      </c>
      <c r="D49" t="s">
        <v>74</v>
      </c>
      <c r="E49" t="s">
        <v>260</v>
      </c>
      <c r="F49" t="s">
        <v>49</v>
      </c>
      <c r="G49" t="s">
        <v>100</v>
      </c>
      <c r="H49" t="s">
        <v>118</v>
      </c>
      <c r="I49" t="s">
        <v>152</v>
      </c>
      <c r="J49" t="s">
        <v>48</v>
      </c>
      <c r="K49" s="2">
        <v>135779</v>
      </c>
      <c r="L49" s="2">
        <v>137137</v>
      </c>
      <c r="M49" s="2">
        <v>212562</v>
      </c>
      <c r="N49" s="3">
        <v>771</v>
      </c>
      <c r="O49" s="3">
        <v>10</v>
      </c>
      <c r="P49" s="4">
        <v>0.65999999999999992</v>
      </c>
      <c r="Q49" s="5">
        <v>10</v>
      </c>
      <c r="R49" s="6">
        <v>73.48</v>
      </c>
      <c r="S49" s="6">
        <v>18.920000000000002</v>
      </c>
    </row>
    <row r="50" spans="1:19">
      <c r="A50" t="s">
        <v>337</v>
      </c>
      <c r="B50" t="s">
        <v>338</v>
      </c>
      <c r="C50" s="1">
        <v>45669</v>
      </c>
      <c r="D50" t="s">
        <v>63</v>
      </c>
      <c r="E50" t="s">
        <v>239</v>
      </c>
      <c r="F50" t="s">
        <v>54</v>
      </c>
      <c r="G50" t="s">
        <v>93</v>
      </c>
      <c r="H50" t="s">
        <v>111</v>
      </c>
      <c r="I50" t="s">
        <v>151</v>
      </c>
      <c r="J50" t="s">
        <v>46</v>
      </c>
      <c r="K50" s="2">
        <v>153136</v>
      </c>
      <c r="L50" s="2">
        <v>174575</v>
      </c>
      <c r="M50" s="2">
        <v>205999</v>
      </c>
      <c r="N50" s="3">
        <v>844</v>
      </c>
      <c r="O50" s="3">
        <v>3</v>
      </c>
      <c r="P50" s="4">
        <v>1</v>
      </c>
      <c r="Q50" s="5">
        <v>1</v>
      </c>
      <c r="R50" s="6">
        <v>73.62</v>
      </c>
      <c r="S50" s="6">
        <v>19.03</v>
      </c>
    </row>
    <row r="51" spans="1:19">
      <c r="A51" t="s">
        <v>339</v>
      </c>
      <c r="B51" t="s">
        <v>340</v>
      </c>
      <c r="C51" s="1">
        <v>45707</v>
      </c>
      <c r="D51" t="s">
        <v>64</v>
      </c>
      <c r="E51" t="s">
        <v>239</v>
      </c>
      <c r="F51" t="s">
        <v>55</v>
      </c>
      <c r="G51" t="s">
        <v>99</v>
      </c>
      <c r="H51" t="s">
        <v>7</v>
      </c>
      <c r="I51" t="s">
        <v>149</v>
      </c>
      <c r="J51" t="s">
        <v>42</v>
      </c>
      <c r="K51" s="2">
        <v>170493</v>
      </c>
      <c r="L51" s="2">
        <v>153444</v>
      </c>
      <c r="M51" s="2">
        <v>197943</v>
      </c>
      <c r="N51" s="3">
        <v>917</v>
      </c>
      <c r="O51" s="3">
        <v>8</v>
      </c>
      <c r="P51" s="4">
        <v>0.48</v>
      </c>
      <c r="Q51" s="5">
        <v>4</v>
      </c>
      <c r="R51" s="6">
        <v>73.760000000000005</v>
      </c>
      <c r="S51" s="6">
        <v>19.14</v>
      </c>
    </row>
    <row r="52" spans="1:19">
      <c r="A52" t="s">
        <v>341</v>
      </c>
      <c r="B52" t="s">
        <v>342</v>
      </c>
      <c r="C52" s="1">
        <v>45717</v>
      </c>
      <c r="D52" t="s">
        <v>65</v>
      </c>
      <c r="E52" t="s">
        <v>239</v>
      </c>
      <c r="F52" t="s">
        <v>43</v>
      </c>
      <c r="G52" t="s">
        <v>93</v>
      </c>
      <c r="H52" t="s">
        <v>115</v>
      </c>
      <c r="I52" t="s">
        <v>147</v>
      </c>
      <c r="J52" t="s">
        <v>45</v>
      </c>
      <c r="K52" s="2">
        <v>187850</v>
      </c>
      <c r="L52" s="2">
        <v>193486</v>
      </c>
      <c r="M52" s="2">
        <v>270880</v>
      </c>
      <c r="N52" s="3">
        <v>990</v>
      </c>
      <c r="O52" s="3">
        <v>13</v>
      </c>
      <c r="P52" s="4">
        <v>0.44999999999999996</v>
      </c>
      <c r="Q52" s="5">
        <v>8</v>
      </c>
      <c r="R52" s="6">
        <v>73.900000000000006</v>
      </c>
      <c r="S52" s="6">
        <v>19.25</v>
      </c>
    </row>
    <row r="53" spans="1:19">
      <c r="A53" t="s">
        <v>343</v>
      </c>
      <c r="B53" t="s">
        <v>344</v>
      </c>
      <c r="C53" s="1">
        <v>45755</v>
      </c>
      <c r="D53" t="s">
        <v>66</v>
      </c>
      <c r="E53" t="s">
        <v>246</v>
      </c>
      <c r="F53" t="s">
        <v>47</v>
      </c>
      <c r="G53" t="s">
        <v>99</v>
      </c>
      <c r="H53" t="s">
        <v>124</v>
      </c>
      <c r="I53" t="s">
        <v>156</v>
      </c>
      <c r="J53" t="s">
        <v>48</v>
      </c>
      <c r="K53" s="2">
        <v>205207</v>
      </c>
      <c r="L53" s="2">
        <v>238040</v>
      </c>
      <c r="M53" s="2">
        <v>359440</v>
      </c>
      <c r="N53" s="3">
        <v>1063</v>
      </c>
      <c r="O53" s="3">
        <v>6</v>
      </c>
      <c r="P53" s="4">
        <v>0.28000000000000003</v>
      </c>
      <c r="Q53" s="5">
        <v>10</v>
      </c>
      <c r="R53" s="6">
        <v>74.040000000000006</v>
      </c>
      <c r="S53" s="6">
        <v>19.36</v>
      </c>
    </row>
    <row r="54" spans="1:19">
      <c r="A54" t="s">
        <v>345</v>
      </c>
      <c r="B54" t="s">
        <v>346</v>
      </c>
      <c r="C54" s="1">
        <v>45792</v>
      </c>
      <c r="D54" t="s">
        <v>67</v>
      </c>
      <c r="E54" t="s">
        <v>246</v>
      </c>
      <c r="F54" t="s">
        <v>49</v>
      </c>
      <c r="G54" t="s">
        <v>101</v>
      </c>
      <c r="H54" t="s">
        <v>118</v>
      </c>
      <c r="I54" t="s">
        <v>154</v>
      </c>
      <c r="J54" t="s">
        <v>46</v>
      </c>
      <c r="K54" s="2">
        <v>222564</v>
      </c>
      <c r="L54" s="2">
        <v>204759</v>
      </c>
      <c r="M54" s="2">
        <v>331710</v>
      </c>
      <c r="N54" s="3">
        <v>1136</v>
      </c>
      <c r="O54" s="3">
        <v>11</v>
      </c>
      <c r="P54" s="4">
        <v>1</v>
      </c>
      <c r="Q54" s="5">
        <v>1</v>
      </c>
      <c r="R54" s="6">
        <v>74.180000000000007</v>
      </c>
      <c r="S54" s="6">
        <v>19.47</v>
      </c>
    </row>
    <row r="55" spans="1:19">
      <c r="A55" t="s">
        <v>347</v>
      </c>
      <c r="B55" t="s">
        <v>348</v>
      </c>
      <c r="C55" s="1">
        <v>45830</v>
      </c>
      <c r="D55" t="s">
        <v>68</v>
      </c>
      <c r="E55" t="s">
        <v>246</v>
      </c>
      <c r="F55" t="s">
        <v>54</v>
      </c>
      <c r="G55" t="s">
        <v>98</v>
      </c>
      <c r="H55" t="s">
        <v>111</v>
      </c>
      <c r="I55" t="s">
        <v>152</v>
      </c>
      <c r="J55" t="s">
        <v>42</v>
      </c>
      <c r="K55" s="2">
        <v>239921</v>
      </c>
      <c r="L55" s="2">
        <v>251917</v>
      </c>
      <c r="M55" s="2">
        <v>314896</v>
      </c>
      <c r="N55" s="3">
        <v>1209</v>
      </c>
      <c r="O55" s="3">
        <v>4</v>
      </c>
      <c r="P55" s="4">
        <v>0.76</v>
      </c>
      <c r="Q55" s="5">
        <v>4</v>
      </c>
      <c r="R55" s="6">
        <v>74.319999999999993</v>
      </c>
      <c r="S55" s="6">
        <v>19.579999999999998</v>
      </c>
    </row>
    <row r="56" spans="1:19">
      <c r="A56" t="s">
        <v>349</v>
      </c>
      <c r="B56" t="s">
        <v>350</v>
      </c>
      <c r="C56" s="1">
        <v>45842</v>
      </c>
      <c r="D56" t="s">
        <v>69</v>
      </c>
      <c r="E56" t="s">
        <v>253</v>
      </c>
      <c r="F56" t="s">
        <v>55</v>
      </c>
      <c r="G56" t="s">
        <v>100</v>
      </c>
      <c r="H56" t="s">
        <v>7</v>
      </c>
      <c r="I56" t="s">
        <v>151</v>
      </c>
      <c r="J56" t="s">
        <v>42</v>
      </c>
      <c r="K56" s="2">
        <v>257278</v>
      </c>
      <c r="L56" s="2">
        <v>303588</v>
      </c>
      <c r="M56" s="2">
        <v>412880</v>
      </c>
      <c r="N56" s="3">
        <v>1282</v>
      </c>
      <c r="O56" s="3">
        <v>9</v>
      </c>
      <c r="P56" s="4">
        <v>0.83</v>
      </c>
      <c r="Q56" s="5">
        <v>1</v>
      </c>
      <c r="R56" s="6">
        <v>74.459999999999994</v>
      </c>
      <c r="S56" s="6">
        <v>19.690000000000001</v>
      </c>
    </row>
    <row r="57" spans="1:19">
      <c r="A57" t="s">
        <v>351</v>
      </c>
      <c r="B57" t="s">
        <v>352</v>
      </c>
      <c r="C57" s="1">
        <v>45880</v>
      </c>
      <c r="D57" t="s">
        <v>70</v>
      </c>
      <c r="E57" t="s">
        <v>253</v>
      </c>
      <c r="F57" t="s">
        <v>43</v>
      </c>
      <c r="G57" t="s">
        <v>98</v>
      </c>
      <c r="H57" t="s">
        <v>115</v>
      </c>
      <c r="I57" t="s">
        <v>149</v>
      </c>
      <c r="J57" t="s">
        <v>45</v>
      </c>
      <c r="K57" s="2">
        <v>274635</v>
      </c>
      <c r="L57" s="2">
        <v>258157</v>
      </c>
      <c r="M57" s="2">
        <v>379491</v>
      </c>
      <c r="N57" s="3">
        <v>1355</v>
      </c>
      <c r="O57" s="3">
        <v>14</v>
      </c>
      <c r="P57" s="4">
        <v>0.2</v>
      </c>
      <c r="Q57" s="5">
        <v>7</v>
      </c>
      <c r="R57" s="6">
        <v>74.599999999999994</v>
      </c>
      <c r="S57" s="6">
        <v>19.8</v>
      </c>
    </row>
    <row r="58" spans="1:19">
      <c r="A58" t="s">
        <v>353</v>
      </c>
      <c r="B58" t="s">
        <v>354</v>
      </c>
      <c r="C58" s="1">
        <v>45918</v>
      </c>
      <c r="D58" t="s">
        <v>71</v>
      </c>
      <c r="E58" t="s">
        <v>253</v>
      </c>
      <c r="F58" t="s">
        <v>47</v>
      </c>
      <c r="G58" t="s">
        <v>100</v>
      </c>
      <c r="H58" t="s">
        <v>124</v>
      </c>
      <c r="I58" t="s">
        <v>147</v>
      </c>
      <c r="J58" t="s">
        <v>48</v>
      </c>
      <c r="K58" s="2">
        <v>291992</v>
      </c>
      <c r="L58" s="2">
        <v>312431</v>
      </c>
      <c r="M58" s="2">
        <v>493641</v>
      </c>
      <c r="N58" s="3">
        <v>1428</v>
      </c>
      <c r="O58" s="3">
        <v>7</v>
      </c>
      <c r="P58" s="4">
        <v>0.43</v>
      </c>
      <c r="Q58" s="5">
        <v>7</v>
      </c>
      <c r="R58" s="6">
        <v>74.739999999999995</v>
      </c>
      <c r="S58" s="6">
        <v>19.91</v>
      </c>
    </row>
    <row r="59" spans="1:19">
      <c r="A59" t="s">
        <v>355</v>
      </c>
      <c r="B59" t="s">
        <v>356</v>
      </c>
      <c r="C59" s="1">
        <v>45955</v>
      </c>
      <c r="D59" t="s">
        <v>72</v>
      </c>
      <c r="E59" t="s">
        <v>260</v>
      </c>
      <c r="F59" t="s">
        <v>49</v>
      </c>
      <c r="G59" t="s">
        <v>93</v>
      </c>
      <c r="H59" t="s">
        <v>118</v>
      </c>
      <c r="I59" t="s">
        <v>156</v>
      </c>
      <c r="J59" t="s">
        <v>46</v>
      </c>
      <c r="K59" s="2">
        <v>64349</v>
      </c>
      <c r="L59" s="2">
        <v>53410</v>
      </c>
      <c r="M59" s="2">
        <v>64626</v>
      </c>
      <c r="N59" s="3">
        <v>1501</v>
      </c>
      <c r="O59" s="3">
        <v>12</v>
      </c>
      <c r="P59" s="4">
        <v>1</v>
      </c>
      <c r="Q59" s="5">
        <v>4</v>
      </c>
      <c r="R59" s="6">
        <v>74.88</v>
      </c>
      <c r="S59" s="6">
        <v>20.02</v>
      </c>
    </row>
    <row r="60" spans="1:19">
      <c r="A60" t="s">
        <v>357</v>
      </c>
      <c r="B60" t="s">
        <v>358</v>
      </c>
      <c r="C60" s="1">
        <v>45968</v>
      </c>
      <c r="D60" t="s">
        <v>73</v>
      </c>
      <c r="E60" t="s">
        <v>260</v>
      </c>
      <c r="F60" t="s">
        <v>54</v>
      </c>
      <c r="G60" t="s">
        <v>99</v>
      </c>
      <c r="H60" t="s">
        <v>111</v>
      </c>
      <c r="I60" t="s">
        <v>154</v>
      </c>
      <c r="J60" t="s">
        <v>42</v>
      </c>
      <c r="K60" s="2">
        <v>81706</v>
      </c>
      <c r="L60" s="2">
        <v>78438</v>
      </c>
      <c r="M60" s="2">
        <v>103538</v>
      </c>
      <c r="N60" s="3">
        <v>1574</v>
      </c>
      <c r="O60" s="3">
        <v>5</v>
      </c>
      <c r="P60" s="4">
        <v>0.55999999999999994</v>
      </c>
      <c r="Q60" s="5">
        <v>1</v>
      </c>
      <c r="R60" s="6">
        <v>75.02</v>
      </c>
      <c r="S60" s="6">
        <v>20.13</v>
      </c>
    </row>
    <row r="61" spans="1:19">
      <c r="A61" t="s">
        <v>359</v>
      </c>
      <c r="B61" t="s">
        <v>360</v>
      </c>
      <c r="C61" s="1">
        <v>46005</v>
      </c>
      <c r="D61" t="s">
        <v>74</v>
      </c>
      <c r="E61" t="s">
        <v>260</v>
      </c>
      <c r="F61" t="s">
        <v>55</v>
      </c>
      <c r="G61" t="s">
        <v>101</v>
      </c>
      <c r="H61" t="s">
        <v>7</v>
      </c>
      <c r="I61" t="s">
        <v>152</v>
      </c>
      <c r="J61" t="s">
        <v>45</v>
      </c>
      <c r="K61" s="2">
        <v>99063</v>
      </c>
      <c r="L61" s="2">
        <v>107979</v>
      </c>
      <c r="M61" s="2">
        <v>154410</v>
      </c>
      <c r="N61" s="3">
        <v>227</v>
      </c>
      <c r="O61" s="3">
        <v>10</v>
      </c>
      <c r="P61" s="4">
        <v>0.28000000000000003</v>
      </c>
      <c r="Q61" s="5">
        <v>8</v>
      </c>
      <c r="R61" s="6">
        <v>75.16</v>
      </c>
      <c r="S61" s="6">
        <v>20.239999999999998</v>
      </c>
    </row>
    <row r="62" spans="1:19">
      <c r="A62" t="s">
        <v>361</v>
      </c>
      <c r="B62" t="s">
        <v>362</v>
      </c>
      <c r="C62" s="1">
        <v>46043</v>
      </c>
      <c r="D62" t="s">
        <v>75</v>
      </c>
      <c r="E62" t="s">
        <v>363</v>
      </c>
      <c r="F62" t="s">
        <v>43</v>
      </c>
      <c r="G62" t="s">
        <v>99</v>
      </c>
      <c r="H62" t="s">
        <v>115</v>
      </c>
      <c r="I62" t="s">
        <v>151</v>
      </c>
      <c r="J62" t="s">
        <v>48</v>
      </c>
      <c r="K62" s="2">
        <v>116420</v>
      </c>
      <c r="L62" s="2">
        <v>98957</v>
      </c>
      <c r="M62" s="2">
        <v>152394</v>
      </c>
      <c r="N62" s="3">
        <v>300</v>
      </c>
      <c r="O62" s="3">
        <v>3</v>
      </c>
      <c r="P62" s="4">
        <v>0.55000000000000004</v>
      </c>
      <c r="Q62" s="5">
        <v>7</v>
      </c>
      <c r="R62" s="6">
        <v>72.5</v>
      </c>
      <c r="S62" s="6">
        <v>18.7</v>
      </c>
    </row>
    <row r="63" spans="1:19">
      <c r="A63" t="s">
        <v>364</v>
      </c>
      <c r="B63" t="s">
        <v>365</v>
      </c>
      <c r="C63" s="1">
        <v>46056</v>
      </c>
      <c r="D63" t="s">
        <v>76</v>
      </c>
      <c r="E63" t="s">
        <v>363</v>
      </c>
      <c r="F63" t="s">
        <v>47</v>
      </c>
      <c r="G63" t="s">
        <v>101</v>
      </c>
      <c r="H63" t="s">
        <v>124</v>
      </c>
      <c r="I63" t="s">
        <v>149</v>
      </c>
      <c r="J63" t="s">
        <v>46</v>
      </c>
      <c r="K63" s="2">
        <v>133777</v>
      </c>
      <c r="L63" s="2">
        <v>131101</v>
      </c>
      <c r="M63" s="2">
        <v>216317</v>
      </c>
      <c r="N63" s="3">
        <v>373</v>
      </c>
      <c r="O63" s="3">
        <v>8</v>
      </c>
      <c r="P63" s="4">
        <v>1</v>
      </c>
      <c r="Q63" s="5">
        <v>4</v>
      </c>
      <c r="R63" s="6">
        <v>72.64</v>
      </c>
      <c r="S63" s="6">
        <v>18.809999999999999</v>
      </c>
    </row>
    <row r="64" spans="1:19">
      <c r="A64" t="s">
        <v>366</v>
      </c>
      <c r="B64" t="s">
        <v>367</v>
      </c>
      <c r="C64" s="1">
        <v>46091</v>
      </c>
      <c r="D64" t="s">
        <v>77</v>
      </c>
      <c r="E64" t="s">
        <v>363</v>
      </c>
      <c r="F64" t="s">
        <v>49</v>
      </c>
      <c r="G64" t="s">
        <v>98</v>
      </c>
      <c r="H64" t="s">
        <v>118</v>
      </c>
      <c r="I64" t="s">
        <v>147</v>
      </c>
      <c r="J64" t="s">
        <v>42</v>
      </c>
      <c r="K64" s="2">
        <v>151134</v>
      </c>
      <c r="L64" s="2">
        <v>167759</v>
      </c>
      <c r="M64" s="2">
        <v>214732</v>
      </c>
      <c r="N64" s="3">
        <v>446</v>
      </c>
      <c r="O64" s="3">
        <v>13</v>
      </c>
      <c r="P64" s="4">
        <v>0.84</v>
      </c>
      <c r="Q64" s="5">
        <v>1</v>
      </c>
      <c r="R64" s="6">
        <v>72.78</v>
      </c>
      <c r="S64" s="6">
        <v>18.920000000000002</v>
      </c>
    </row>
    <row r="65" spans="1:19">
      <c r="A65" t="s">
        <v>368</v>
      </c>
      <c r="B65" t="s">
        <v>369</v>
      </c>
      <c r="C65" s="1">
        <v>46129</v>
      </c>
      <c r="D65" t="s">
        <v>78</v>
      </c>
      <c r="E65" t="s">
        <v>370</v>
      </c>
      <c r="F65" t="s">
        <v>54</v>
      </c>
      <c r="G65" t="s">
        <v>100</v>
      </c>
      <c r="H65" t="s">
        <v>111</v>
      </c>
      <c r="I65" t="s">
        <v>156</v>
      </c>
      <c r="J65" t="s">
        <v>42</v>
      </c>
      <c r="K65" s="2">
        <v>168491</v>
      </c>
      <c r="L65" s="2">
        <v>146587</v>
      </c>
      <c r="M65" s="2">
        <v>203756</v>
      </c>
      <c r="N65" s="3">
        <v>519</v>
      </c>
      <c r="O65" s="3">
        <v>6</v>
      </c>
      <c r="P65" s="4">
        <v>0.36</v>
      </c>
      <c r="Q65" s="5">
        <v>4</v>
      </c>
      <c r="R65" s="6">
        <v>72.92</v>
      </c>
      <c r="S65" s="6">
        <v>19.03</v>
      </c>
    </row>
    <row r="66" spans="1:19">
      <c r="A66" t="s">
        <v>371</v>
      </c>
      <c r="B66" t="s">
        <v>372</v>
      </c>
      <c r="C66" s="1">
        <v>46166</v>
      </c>
      <c r="D66" t="s">
        <v>79</v>
      </c>
      <c r="E66" t="s">
        <v>370</v>
      </c>
      <c r="F66" t="s">
        <v>55</v>
      </c>
      <c r="G66" t="s">
        <v>93</v>
      </c>
      <c r="H66" t="s">
        <v>7</v>
      </c>
      <c r="I66" t="s">
        <v>154</v>
      </c>
      <c r="J66" t="s">
        <v>45</v>
      </c>
      <c r="K66" s="2">
        <v>185848</v>
      </c>
      <c r="L66" s="2">
        <v>185848</v>
      </c>
      <c r="M66" s="2">
        <v>278772</v>
      </c>
      <c r="N66" s="3">
        <v>592</v>
      </c>
      <c r="O66" s="3">
        <v>11</v>
      </c>
      <c r="P66" s="4">
        <v>0.38</v>
      </c>
      <c r="Q66" s="5">
        <v>7</v>
      </c>
      <c r="R66" s="6">
        <v>73.06</v>
      </c>
      <c r="S66" s="6">
        <v>19.14</v>
      </c>
    </row>
    <row r="67" spans="1:19">
      <c r="A67" t="s">
        <v>373</v>
      </c>
      <c r="B67" t="s">
        <v>374</v>
      </c>
      <c r="C67" s="1">
        <v>46179</v>
      </c>
      <c r="D67" t="s">
        <v>80</v>
      </c>
      <c r="E67" t="s">
        <v>370</v>
      </c>
      <c r="F67" t="s">
        <v>43</v>
      </c>
      <c r="G67" t="s">
        <v>100</v>
      </c>
      <c r="H67" t="s">
        <v>115</v>
      </c>
      <c r="I67" t="s">
        <v>152</v>
      </c>
      <c r="J67" t="s">
        <v>48</v>
      </c>
      <c r="K67" s="2">
        <v>203205</v>
      </c>
      <c r="L67" s="2">
        <v>229622</v>
      </c>
      <c r="M67" s="2">
        <v>369691</v>
      </c>
      <c r="N67" s="3">
        <v>665</v>
      </c>
      <c r="O67" s="3">
        <v>4</v>
      </c>
      <c r="P67" s="4">
        <v>0.7</v>
      </c>
      <c r="Q67" s="5">
        <v>8</v>
      </c>
      <c r="R67" s="6">
        <v>73.2</v>
      </c>
      <c r="S67" s="6">
        <v>19.25</v>
      </c>
    </row>
    <row r="68" spans="1:19">
      <c r="A68" t="s">
        <v>375</v>
      </c>
      <c r="B68" t="s">
        <v>376</v>
      </c>
      <c r="C68" s="1">
        <v>46216</v>
      </c>
      <c r="D68" t="s">
        <v>81</v>
      </c>
      <c r="E68" t="s">
        <v>377</v>
      </c>
      <c r="F68" t="s">
        <v>47</v>
      </c>
      <c r="G68" t="s">
        <v>93</v>
      </c>
      <c r="H68" t="s">
        <v>124</v>
      </c>
      <c r="I68" t="s">
        <v>151</v>
      </c>
      <c r="J68" t="s">
        <v>46</v>
      </c>
      <c r="K68" s="2">
        <v>220562</v>
      </c>
      <c r="L68" s="2">
        <v>196300</v>
      </c>
      <c r="M68" s="2">
        <v>243412</v>
      </c>
      <c r="N68" s="3">
        <v>738</v>
      </c>
      <c r="O68" s="3">
        <v>9</v>
      </c>
      <c r="P68" s="4">
        <v>1</v>
      </c>
      <c r="Q68" s="5">
        <v>1</v>
      </c>
      <c r="R68" s="6">
        <v>73.34</v>
      </c>
      <c r="S68" s="6">
        <v>19.36</v>
      </c>
    </row>
    <row r="69" spans="1:19">
      <c r="A69" t="s">
        <v>378</v>
      </c>
      <c r="B69" t="s">
        <v>379</v>
      </c>
      <c r="C69" s="1">
        <v>46254</v>
      </c>
      <c r="D69" t="s">
        <v>82</v>
      </c>
      <c r="E69" t="s">
        <v>377</v>
      </c>
      <c r="F69" t="s">
        <v>49</v>
      </c>
      <c r="G69" t="s">
        <v>99</v>
      </c>
      <c r="H69" t="s">
        <v>118</v>
      </c>
      <c r="I69" t="s">
        <v>149</v>
      </c>
      <c r="J69" t="s">
        <v>42</v>
      </c>
      <c r="K69" s="2">
        <v>237919</v>
      </c>
      <c r="L69" s="2">
        <v>242677</v>
      </c>
      <c r="M69" s="2">
        <v>327614</v>
      </c>
      <c r="N69" s="3">
        <v>811</v>
      </c>
      <c r="O69" s="3">
        <v>14</v>
      </c>
      <c r="P69" s="4">
        <v>0.6399999999999999</v>
      </c>
      <c r="Q69" s="5">
        <v>4</v>
      </c>
      <c r="R69" s="6">
        <v>73.48</v>
      </c>
      <c r="S69" s="6">
        <v>19.47</v>
      </c>
    </row>
    <row r="70" spans="1:19">
      <c r="A70" t="s">
        <v>380</v>
      </c>
      <c r="B70" t="s">
        <v>381</v>
      </c>
      <c r="C70" s="1">
        <v>46267</v>
      </c>
      <c r="D70" t="s">
        <v>83</v>
      </c>
      <c r="E70" t="s">
        <v>377</v>
      </c>
      <c r="F70" t="s">
        <v>54</v>
      </c>
      <c r="G70" t="s">
        <v>101</v>
      </c>
      <c r="H70" t="s">
        <v>111</v>
      </c>
      <c r="I70" t="s">
        <v>147</v>
      </c>
      <c r="J70" t="s">
        <v>45</v>
      </c>
      <c r="K70" s="2">
        <v>255276</v>
      </c>
      <c r="L70" s="2">
        <v>293567</v>
      </c>
      <c r="M70" s="2">
        <v>428608</v>
      </c>
      <c r="N70" s="3">
        <v>884</v>
      </c>
      <c r="O70" s="3">
        <v>7</v>
      </c>
      <c r="P70" s="4">
        <v>0.45999999999999996</v>
      </c>
      <c r="Q70" s="5">
        <v>8</v>
      </c>
      <c r="R70" s="6">
        <v>73.62</v>
      </c>
      <c r="S70" s="6">
        <v>19.579999999999998</v>
      </c>
    </row>
    <row r="71" spans="1:19">
      <c r="A71" t="s">
        <v>382</v>
      </c>
      <c r="B71" t="s">
        <v>383</v>
      </c>
      <c r="C71" s="1">
        <v>46304</v>
      </c>
      <c r="D71" t="s">
        <v>84</v>
      </c>
      <c r="E71" t="s">
        <v>384</v>
      </c>
      <c r="F71" t="s">
        <v>55</v>
      </c>
      <c r="G71" t="s">
        <v>98</v>
      </c>
      <c r="H71" t="s">
        <v>7</v>
      </c>
      <c r="I71" t="s">
        <v>156</v>
      </c>
      <c r="J71" t="s">
        <v>48</v>
      </c>
      <c r="K71" s="2">
        <v>272633</v>
      </c>
      <c r="L71" s="2">
        <v>248096</v>
      </c>
      <c r="M71" s="2">
        <v>389511</v>
      </c>
      <c r="N71" s="3">
        <v>957</v>
      </c>
      <c r="O71" s="3">
        <v>12</v>
      </c>
      <c r="P71" s="4">
        <v>0.32</v>
      </c>
      <c r="Q71" s="5">
        <v>8</v>
      </c>
      <c r="R71" s="6">
        <v>73.760000000000005</v>
      </c>
      <c r="S71" s="6">
        <v>19.690000000000001</v>
      </c>
    </row>
    <row r="72" spans="1:19">
      <c r="A72" t="s">
        <v>385</v>
      </c>
      <c r="B72" t="s">
        <v>386</v>
      </c>
      <c r="C72" s="1">
        <v>46342</v>
      </c>
      <c r="D72" t="s">
        <v>85</v>
      </c>
      <c r="E72" t="s">
        <v>384</v>
      </c>
      <c r="F72" t="s">
        <v>43</v>
      </c>
      <c r="G72" t="s">
        <v>101</v>
      </c>
      <c r="H72" t="s">
        <v>115</v>
      </c>
      <c r="I72" t="s">
        <v>154</v>
      </c>
      <c r="J72" t="s">
        <v>46</v>
      </c>
      <c r="K72" s="2">
        <v>289990</v>
      </c>
      <c r="L72" s="2">
        <v>301590</v>
      </c>
      <c r="M72" s="2">
        <v>361908</v>
      </c>
      <c r="N72" s="3">
        <v>1030</v>
      </c>
      <c r="O72" s="3">
        <v>5</v>
      </c>
      <c r="P72" s="4">
        <v>1</v>
      </c>
      <c r="Q72" s="5">
        <v>1</v>
      </c>
      <c r="R72" s="6">
        <v>73.900000000000006</v>
      </c>
      <c r="S72" s="6">
        <v>19.8</v>
      </c>
    </row>
    <row r="73" spans="1:19">
      <c r="A73" t="s">
        <v>387</v>
      </c>
      <c r="B73" t="s">
        <v>388</v>
      </c>
      <c r="C73" s="1">
        <v>46379</v>
      </c>
      <c r="D73" t="s">
        <v>86</v>
      </c>
      <c r="E73" t="s">
        <v>384</v>
      </c>
      <c r="F73" t="s">
        <v>47</v>
      </c>
      <c r="G73" t="s">
        <v>98</v>
      </c>
      <c r="H73" t="s">
        <v>124</v>
      </c>
      <c r="I73" t="s">
        <v>152</v>
      </c>
      <c r="J73" t="s">
        <v>42</v>
      </c>
      <c r="K73" s="2">
        <v>62347</v>
      </c>
      <c r="L73" s="2">
        <v>72946</v>
      </c>
      <c r="M73" s="2">
        <v>95559</v>
      </c>
      <c r="N73" s="3">
        <v>1103</v>
      </c>
      <c r="O73" s="3">
        <v>10</v>
      </c>
      <c r="P73" s="4">
        <v>0.37</v>
      </c>
      <c r="Q73" s="5">
        <v>4</v>
      </c>
      <c r="R73" s="6">
        <v>74.040000000000006</v>
      </c>
      <c r="S73" s="6">
        <v>19.91</v>
      </c>
    </row>
    <row r="74" spans="1:19">
      <c r="A74" t="s">
        <v>389</v>
      </c>
      <c r="B74" t="s">
        <v>390</v>
      </c>
      <c r="C74" s="1">
        <v>46027</v>
      </c>
      <c r="D74" t="s">
        <v>75</v>
      </c>
      <c r="E74" t="s">
        <v>363</v>
      </c>
      <c r="F74" t="s">
        <v>49</v>
      </c>
      <c r="G74" t="s">
        <v>100</v>
      </c>
      <c r="H74" t="s">
        <v>118</v>
      </c>
      <c r="I74" t="s">
        <v>151</v>
      </c>
      <c r="J74" t="s">
        <v>42</v>
      </c>
      <c r="K74" s="2">
        <v>79704</v>
      </c>
      <c r="L74" s="2">
        <v>74125</v>
      </c>
      <c r="M74" s="2">
        <v>105258</v>
      </c>
      <c r="N74" s="3">
        <v>1176</v>
      </c>
      <c r="O74" s="3">
        <v>3</v>
      </c>
      <c r="P74" s="4">
        <v>0.43999999999999995</v>
      </c>
      <c r="Q74" s="5">
        <v>1</v>
      </c>
      <c r="R74" s="6">
        <v>74.180000000000007</v>
      </c>
      <c r="S74" s="6">
        <v>20.02</v>
      </c>
    </row>
    <row r="75" spans="1:19">
      <c r="A75" t="s">
        <v>391</v>
      </c>
      <c r="B75" t="s">
        <v>392</v>
      </c>
      <c r="C75" s="1">
        <v>46065</v>
      </c>
      <c r="D75" t="s">
        <v>76</v>
      </c>
      <c r="E75" t="s">
        <v>363</v>
      </c>
      <c r="F75" t="s">
        <v>54</v>
      </c>
      <c r="G75" t="s">
        <v>93</v>
      </c>
      <c r="H75" t="s">
        <v>111</v>
      </c>
      <c r="I75" t="s">
        <v>149</v>
      </c>
      <c r="J75" t="s">
        <v>45</v>
      </c>
      <c r="K75" s="2">
        <v>97061</v>
      </c>
      <c r="L75" s="2">
        <v>102885</v>
      </c>
      <c r="M75" s="2">
        <v>157414</v>
      </c>
      <c r="N75" s="3">
        <v>1249</v>
      </c>
      <c r="O75" s="3">
        <v>8</v>
      </c>
      <c r="P75" s="4">
        <v>0.21</v>
      </c>
      <c r="Q75" s="5">
        <v>7</v>
      </c>
      <c r="R75" s="6">
        <v>74.319999999999993</v>
      </c>
      <c r="S75" s="6">
        <v>20.13</v>
      </c>
    </row>
    <row r="76" spans="1:19">
      <c r="A76" t="s">
        <v>393</v>
      </c>
      <c r="B76" t="s">
        <v>394</v>
      </c>
      <c r="C76" s="1">
        <v>46100</v>
      </c>
      <c r="D76" t="s">
        <v>77</v>
      </c>
      <c r="E76" t="s">
        <v>363</v>
      </c>
      <c r="F76" t="s">
        <v>55</v>
      </c>
      <c r="G76" t="s">
        <v>99</v>
      </c>
      <c r="H76" t="s">
        <v>7</v>
      </c>
      <c r="I76" t="s">
        <v>147</v>
      </c>
      <c r="J76" t="s">
        <v>48</v>
      </c>
      <c r="K76" s="2">
        <v>114418</v>
      </c>
      <c r="L76" s="2">
        <v>93823</v>
      </c>
      <c r="M76" s="2">
        <v>153870</v>
      </c>
      <c r="N76" s="3">
        <v>1322</v>
      </c>
      <c r="O76" s="3">
        <v>13</v>
      </c>
      <c r="P76" s="4">
        <v>0.47</v>
      </c>
      <c r="Q76" s="5">
        <v>9</v>
      </c>
      <c r="R76" s="6">
        <v>74.459999999999994</v>
      </c>
      <c r="S76" s="6">
        <v>20.239999999999998</v>
      </c>
    </row>
    <row r="77" spans="1:19">
      <c r="A77" t="s">
        <v>395</v>
      </c>
      <c r="B77" t="s">
        <v>396</v>
      </c>
      <c r="C77" s="1">
        <v>46113</v>
      </c>
      <c r="D77" t="s">
        <v>78</v>
      </c>
      <c r="E77" t="s">
        <v>370</v>
      </c>
      <c r="F77" t="s">
        <v>43</v>
      </c>
      <c r="G77" t="s">
        <v>93</v>
      </c>
      <c r="H77" t="s">
        <v>115</v>
      </c>
      <c r="I77" t="s">
        <v>156</v>
      </c>
      <c r="J77" t="s">
        <v>46</v>
      </c>
      <c r="K77" s="2">
        <v>131775</v>
      </c>
      <c r="L77" s="2">
        <v>125186</v>
      </c>
      <c r="M77" s="2">
        <v>158986</v>
      </c>
      <c r="N77" s="3">
        <v>1395</v>
      </c>
      <c r="O77" s="3">
        <v>6</v>
      </c>
      <c r="P77" s="4">
        <v>1</v>
      </c>
      <c r="Q77" s="5">
        <v>4</v>
      </c>
      <c r="R77" s="6">
        <v>74.599999999999994</v>
      </c>
      <c r="S77" s="6">
        <v>18.7</v>
      </c>
    </row>
    <row r="78" spans="1:19">
      <c r="A78" t="s">
        <v>397</v>
      </c>
      <c r="B78" t="s">
        <v>398</v>
      </c>
      <c r="C78" s="1">
        <v>46150</v>
      </c>
      <c r="D78" t="s">
        <v>79</v>
      </c>
      <c r="E78" t="s">
        <v>370</v>
      </c>
      <c r="F78" t="s">
        <v>47</v>
      </c>
      <c r="G78" t="s">
        <v>99</v>
      </c>
      <c r="H78" t="s">
        <v>124</v>
      </c>
      <c r="I78" t="s">
        <v>154</v>
      </c>
      <c r="J78" t="s">
        <v>42</v>
      </c>
      <c r="K78" s="2">
        <v>149132</v>
      </c>
      <c r="L78" s="2">
        <v>161063</v>
      </c>
      <c r="M78" s="2">
        <v>222267</v>
      </c>
      <c r="N78" s="3">
        <v>1468</v>
      </c>
      <c r="O78" s="3">
        <v>11</v>
      </c>
      <c r="P78" s="4">
        <v>0.72</v>
      </c>
      <c r="Q78" s="5">
        <v>1</v>
      </c>
      <c r="R78" s="6">
        <v>74.739999999999995</v>
      </c>
      <c r="S78" s="6">
        <v>18.809999999999999</v>
      </c>
    </row>
    <row r="79" spans="1:19">
      <c r="A79" t="s">
        <v>399</v>
      </c>
      <c r="B79" t="s">
        <v>400</v>
      </c>
      <c r="C79" s="1">
        <v>46188</v>
      </c>
      <c r="D79" t="s">
        <v>80</v>
      </c>
      <c r="E79" t="s">
        <v>370</v>
      </c>
      <c r="F79" t="s">
        <v>49</v>
      </c>
      <c r="G79" t="s">
        <v>101</v>
      </c>
      <c r="H79" t="s">
        <v>118</v>
      </c>
      <c r="I79" t="s">
        <v>152</v>
      </c>
      <c r="J79" t="s">
        <v>45</v>
      </c>
      <c r="K79" s="2">
        <v>166489</v>
      </c>
      <c r="L79" s="2">
        <v>139851</v>
      </c>
      <c r="M79" s="2">
        <v>208378</v>
      </c>
      <c r="N79" s="3">
        <v>1541</v>
      </c>
      <c r="O79" s="3">
        <v>4</v>
      </c>
      <c r="P79" s="4">
        <v>0.29000000000000004</v>
      </c>
      <c r="Q79" s="5">
        <v>8</v>
      </c>
      <c r="R79" s="6">
        <v>74.88</v>
      </c>
      <c r="S79" s="6">
        <v>18.920000000000002</v>
      </c>
    </row>
    <row r="80" spans="1:19">
      <c r="A80" t="s">
        <v>401</v>
      </c>
      <c r="B80" t="s">
        <v>402</v>
      </c>
      <c r="C80" s="1">
        <v>46225</v>
      </c>
      <c r="D80" t="s">
        <v>81</v>
      </c>
      <c r="E80" t="s">
        <v>377</v>
      </c>
      <c r="F80" t="s">
        <v>54</v>
      </c>
      <c r="G80" t="s">
        <v>98</v>
      </c>
      <c r="H80" t="s">
        <v>111</v>
      </c>
      <c r="I80" t="s">
        <v>151</v>
      </c>
      <c r="J80" t="s">
        <v>48</v>
      </c>
      <c r="K80" s="2">
        <v>183846</v>
      </c>
      <c r="L80" s="2">
        <v>178331</v>
      </c>
      <c r="M80" s="2">
        <v>285330</v>
      </c>
      <c r="N80" s="3">
        <v>194</v>
      </c>
      <c r="O80" s="3">
        <v>9</v>
      </c>
      <c r="P80" s="4">
        <v>0.59000000000000008</v>
      </c>
      <c r="Q80" s="5">
        <v>9</v>
      </c>
      <c r="R80" s="6">
        <v>75.02</v>
      </c>
      <c r="S80" s="6">
        <v>19.03</v>
      </c>
    </row>
    <row r="81" spans="1:19">
      <c r="A81" t="s">
        <v>403</v>
      </c>
      <c r="B81" t="s">
        <v>404</v>
      </c>
      <c r="C81" s="1">
        <v>46238</v>
      </c>
      <c r="D81" t="s">
        <v>82</v>
      </c>
      <c r="E81" t="s">
        <v>377</v>
      </c>
      <c r="F81" t="s">
        <v>55</v>
      </c>
      <c r="G81" t="s">
        <v>100</v>
      </c>
      <c r="H81" t="s">
        <v>7</v>
      </c>
      <c r="I81" t="s">
        <v>149</v>
      </c>
      <c r="J81" t="s">
        <v>46</v>
      </c>
      <c r="K81" s="2">
        <v>201203</v>
      </c>
      <c r="L81" s="2">
        <v>221323</v>
      </c>
      <c r="M81" s="2">
        <v>272227</v>
      </c>
      <c r="N81" s="3">
        <v>267</v>
      </c>
      <c r="O81" s="3">
        <v>14</v>
      </c>
      <c r="P81" s="4">
        <v>1</v>
      </c>
      <c r="Q81" s="5">
        <v>4</v>
      </c>
      <c r="R81" s="6">
        <v>75.16</v>
      </c>
      <c r="S81" s="6">
        <v>19.14</v>
      </c>
    </row>
    <row r="82" spans="1:19">
      <c r="A82" t="s">
        <v>405</v>
      </c>
      <c r="B82" t="s">
        <v>406</v>
      </c>
      <c r="C82" s="1">
        <v>46276</v>
      </c>
      <c r="D82" t="s">
        <v>83</v>
      </c>
      <c r="E82" t="s">
        <v>377</v>
      </c>
      <c r="F82" t="s">
        <v>43</v>
      </c>
      <c r="G82" t="s">
        <v>98</v>
      </c>
      <c r="H82" t="s">
        <v>115</v>
      </c>
      <c r="I82" t="s">
        <v>147</v>
      </c>
      <c r="J82" t="s">
        <v>42</v>
      </c>
      <c r="K82" s="2">
        <v>218560</v>
      </c>
      <c r="L82" s="2">
        <v>187962</v>
      </c>
      <c r="M82" s="2">
        <v>251869</v>
      </c>
      <c r="N82" s="3">
        <v>340</v>
      </c>
      <c r="O82" s="3">
        <v>7</v>
      </c>
      <c r="P82" s="4">
        <v>0.44999999999999996</v>
      </c>
      <c r="Q82" s="5">
        <v>1</v>
      </c>
      <c r="R82" s="6">
        <v>72.5</v>
      </c>
      <c r="S82" s="6">
        <v>19.25</v>
      </c>
    </row>
    <row r="83" spans="1:19">
      <c r="A83" t="s">
        <v>407</v>
      </c>
      <c r="B83" t="s">
        <v>408</v>
      </c>
      <c r="C83" s="1">
        <v>46313</v>
      </c>
      <c r="D83" t="s">
        <v>84</v>
      </c>
      <c r="E83" t="s">
        <v>384</v>
      </c>
      <c r="F83" t="s">
        <v>47</v>
      </c>
      <c r="G83" t="s">
        <v>100</v>
      </c>
      <c r="H83" t="s">
        <v>124</v>
      </c>
      <c r="I83" t="s">
        <v>156</v>
      </c>
      <c r="J83" t="s">
        <v>42</v>
      </c>
      <c r="K83" s="2">
        <v>235917</v>
      </c>
      <c r="L83" s="2">
        <v>233558</v>
      </c>
      <c r="M83" s="2">
        <v>338659</v>
      </c>
      <c r="N83" s="3">
        <v>413</v>
      </c>
      <c r="O83" s="3">
        <v>12</v>
      </c>
      <c r="P83" s="4">
        <v>0.52</v>
      </c>
      <c r="Q83" s="5">
        <v>4</v>
      </c>
      <c r="R83" s="6">
        <v>72.64</v>
      </c>
      <c r="S83" s="6">
        <v>19.36</v>
      </c>
    </row>
    <row r="84" spans="1:19">
      <c r="A84" t="s">
        <v>409</v>
      </c>
      <c r="B84" t="s">
        <v>410</v>
      </c>
      <c r="C84" s="1">
        <v>46351</v>
      </c>
      <c r="D84" t="s">
        <v>85</v>
      </c>
      <c r="E84" t="s">
        <v>384</v>
      </c>
      <c r="F84" t="s">
        <v>49</v>
      </c>
      <c r="G84" t="s">
        <v>93</v>
      </c>
      <c r="H84" t="s">
        <v>118</v>
      </c>
      <c r="I84" t="s">
        <v>154</v>
      </c>
      <c r="J84" t="s">
        <v>45</v>
      </c>
      <c r="K84" s="2">
        <v>253274</v>
      </c>
      <c r="L84" s="2">
        <v>283667</v>
      </c>
      <c r="M84" s="2">
        <v>442521</v>
      </c>
      <c r="N84" s="3">
        <v>486</v>
      </c>
      <c r="O84" s="3">
        <v>5</v>
      </c>
      <c r="P84" s="4">
        <v>0.39</v>
      </c>
      <c r="Q84" s="5">
        <v>7</v>
      </c>
      <c r="R84" s="6">
        <v>72.78</v>
      </c>
      <c r="S84" s="6">
        <v>19.47</v>
      </c>
    </row>
    <row r="85" spans="1:19">
      <c r="A85" t="s">
        <v>411</v>
      </c>
      <c r="B85" t="s">
        <v>412</v>
      </c>
      <c r="C85" s="1">
        <v>46363</v>
      </c>
      <c r="D85" t="s">
        <v>86</v>
      </c>
      <c r="E85" t="s">
        <v>384</v>
      </c>
      <c r="F85" t="s">
        <v>54</v>
      </c>
      <c r="G85" t="s">
        <v>99</v>
      </c>
      <c r="H85" t="s">
        <v>111</v>
      </c>
      <c r="I85" t="s">
        <v>152</v>
      </c>
      <c r="J85" t="s">
        <v>48</v>
      </c>
      <c r="K85" s="2">
        <v>270631</v>
      </c>
      <c r="L85" s="2">
        <v>238155</v>
      </c>
      <c r="M85" s="2">
        <v>283404</v>
      </c>
      <c r="N85" s="3">
        <v>559</v>
      </c>
      <c r="O85" s="3">
        <v>10</v>
      </c>
      <c r="P85" s="4">
        <v>0.74</v>
      </c>
      <c r="Q85" s="5">
        <v>10</v>
      </c>
      <c r="R85" s="6">
        <v>72.92</v>
      </c>
      <c r="S85" s="6">
        <v>19.579999999999998</v>
      </c>
    </row>
    <row r="86" spans="1:19">
      <c r="A86" t="s">
        <v>413</v>
      </c>
      <c r="B86" t="s">
        <v>414</v>
      </c>
      <c r="C86" s="1">
        <v>46036</v>
      </c>
      <c r="D86" t="s">
        <v>75</v>
      </c>
      <c r="E86" t="s">
        <v>363</v>
      </c>
      <c r="F86" t="s">
        <v>55</v>
      </c>
      <c r="G86" t="s">
        <v>101</v>
      </c>
      <c r="H86" t="s">
        <v>7</v>
      </c>
      <c r="I86" t="s">
        <v>151</v>
      </c>
      <c r="J86" t="s">
        <v>46</v>
      </c>
      <c r="K86" s="2">
        <v>287988</v>
      </c>
      <c r="L86" s="2">
        <v>290868</v>
      </c>
      <c r="M86" s="2">
        <v>378128</v>
      </c>
      <c r="N86" s="3">
        <v>632</v>
      </c>
      <c r="O86" s="3">
        <v>3</v>
      </c>
      <c r="P86" s="4">
        <v>1</v>
      </c>
      <c r="Q86" s="5">
        <v>1</v>
      </c>
      <c r="R86" s="6">
        <v>73.06</v>
      </c>
      <c r="S86" s="6">
        <v>19.690000000000001</v>
      </c>
    </row>
    <row r="87" spans="1:19">
      <c r="A87" t="s">
        <v>415</v>
      </c>
      <c r="B87" t="s">
        <v>416</v>
      </c>
      <c r="C87" s="1">
        <v>46074</v>
      </c>
      <c r="D87" t="s">
        <v>76</v>
      </c>
      <c r="E87" t="s">
        <v>363</v>
      </c>
      <c r="F87" t="s">
        <v>43</v>
      </c>
      <c r="G87" t="s">
        <v>99</v>
      </c>
      <c r="H87" t="s">
        <v>115</v>
      </c>
      <c r="I87" t="s">
        <v>149</v>
      </c>
      <c r="J87" t="s">
        <v>42</v>
      </c>
      <c r="K87" s="2">
        <v>60345</v>
      </c>
      <c r="L87" s="2">
        <v>68793</v>
      </c>
      <c r="M87" s="2">
        <v>96998</v>
      </c>
      <c r="N87" s="3">
        <v>705</v>
      </c>
      <c r="O87" s="3">
        <v>8</v>
      </c>
      <c r="P87" s="4">
        <v>0.8</v>
      </c>
      <c r="Q87" s="5">
        <v>4</v>
      </c>
      <c r="R87" s="6">
        <v>73.2</v>
      </c>
      <c r="S87" s="6">
        <v>19.8</v>
      </c>
    </row>
    <row r="88" spans="1:19">
      <c r="A88" t="s">
        <v>417</v>
      </c>
      <c r="B88" t="s">
        <v>418</v>
      </c>
      <c r="C88" s="1">
        <v>46084</v>
      </c>
      <c r="D88" t="s">
        <v>77</v>
      </c>
      <c r="E88" t="s">
        <v>363</v>
      </c>
      <c r="F88" t="s">
        <v>47</v>
      </c>
      <c r="G88" t="s">
        <v>101</v>
      </c>
      <c r="H88" t="s">
        <v>124</v>
      </c>
      <c r="I88" t="s">
        <v>147</v>
      </c>
      <c r="J88" t="s">
        <v>45</v>
      </c>
      <c r="K88" s="2">
        <v>77702</v>
      </c>
      <c r="L88" s="2">
        <v>69932</v>
      </c>
      <c r="M88" s="2">
        <v>106297</v>
      </c>
      <c r="N88" s="3">
        <v>778</v>
      </c>
      <c r="O88" s="3">
        <v>13</v>
      </c>
      <c r="P88" s="4">
        <v>0.47</v>
      </c>
      <c r="Q88" s="5">
        <v>8</v>
      </c>
      <c r="R88" s="6">
        <v>73.34</v>
      </c>
      <c r="S88" s="6">
        <v>19.91</v>
      </c>
    </row>
    <row r="89" spans="1:19">
      <c r="A89" t="s">
        <v>419</v>
      </c>
      <c r="B89" t="s">
        <v>420</v>
      </c>
      <c r="C89" s="1">
        <v>46122</v>
      </c>
      <c r="D89" t="s">
        <v>78</v>
      </c>
      <c r="E89" t="s">
        <v>370</v>
      </c>
      <c r="F89" t="s">
        <v>49</v>
      </c>
      <c r="G89" t="s">
        <v>98</v>
      </c>
      <c r="H89" t="s">
        <v>118</v>
      </c>
      <c r="I89" t="s">
        <v>156</v>
      </c>
      <c r="J89" t="s">
        <v>48</v>
      </c>
      <c r="K89" s="2">
        <v>95059</v>
      </c>
      <c r="L89" s="2">
        <v>97911</v>
      </c>
      <c r="M89" s="2">
        <v>159595</v>
      </c>
      <c r="N89" s="3">
        <v>851</v>
      </c>
      <c r="O89" s="3">
        <v>6</v>
      </c>
      <c r="P89" s="4">
        <v>0.36</v>
      </c>
      <c r="Q89" s="5">
        <v>10</v>
      </c>
      <c r="R89" s="6">
        <v>73.48</v>
      </c>
      <c r="S89" s="6">
        <v>20.02</v>
      </c>
    </row>
    <row r="90" spans="1:19">
      <c r="A90" t="s">
        <v>421</v>
      </c>
      <c r="B90" t="s">
        <v>422</v>
      </c>
      <c r="C90" s="1">
        <v>46159</v>
      </c>
      <c r="D90" t="s">
        <v>79</v>
      </c>
      <c r="E90" t="s">
        <v>370</v>
      </c>
      <c r="F90" t="s">
        <v>54</v>
      </c>
      <c r="G90" t="s">
        <v>100</v>
      </c>
      <c r="H90" t="s">
        <v>111</v>
      </c>
      <c r="I90" t="s">
        <v>154</v>
      </c>
      <c r="J90" t="s">
        <v>46</v>
      </c>
      <c r="K90" s="2">
        <v>112416</v>
      </c>
      <c r="L90" s="2">
        <v>130403</v>
      </c>
      <c r="M90" s="2">
        <v>164308</v>
      </c>
      <c r="N90" s="3">
        <v>924</v>
      </c>
      <c r="O90" s="3">
        <v>11</v>
      </c>
      <c r="P90" s="4">
        <v>1</v>
      </c>
      <c r="Q90" s="5">
        <v>1</v>
      </c>
      <c r="R90" s="6">
        <v>73.62</v>
      </c>
      <c r="S90" s="6">
        <v>20.13</v>
      </c>
    </row>
    <row r="91" spans="1:19">
      <c r="A91" t="s">
        <v>423</v>
      </c>
      <c r="B91" t="s">
        <v>424</v>
      </c>
      <c r="C91" s="1">
        <v>46197</v>
      </c>
      <c r="D91" t="s">
        <v>80</v>
      </c>
      <c r="E91" t="s">
        <v>370</v>
      </c>
      <c r="F91" t="s">
        <v>55</v>
      </c>
      <c r="G91" t="s">
        <v>93</v>
      </c>
      <c r="H91" t="s">
        <v>7</v>
      </c>
      <c r="I91" t="s">
        <v>152</v>
      </c>
      <c r="J91" t="s">
        <v>42</v>
      </c>
      <c r="K91" s="2">
        <v>129773</v>
      </c>
      <c r="L91" s="2">
        <v>119391</v>
      </c>
      <c r="M91" s="2">
        <v>163566</v>
      </c>
      <c r="N91" s="3">
        <v>997</v>
      </c>
      <c r="O91" s="3">
        <v>4</v>
      </c>
      <c r="P91" s="4">
        <v>0.53</v>
      </c>
      <c r="Q91" s="5">
        <v>4</v>
      </c>
      <c r="R91" s="6">
        <v>73.760000000000005</v>
      </c>
      <c r="S91" s="6">
        <v>20.239999999999998</v>
      </c>
    </row>
    <row r="92" spans="1:19">
      <c r="A92" t="s">
        <v>425</v>
      </c>
      <c r="B92" t="s">
        <v>426</v>
      </c>
      <c r="C92" s="1">
        <v>46209</v>
      </c>
      <c r="D92" t="s">
        <v>81</v>
      </c>
      <c r="E92" t="s">
        <v>377</v>
      </c>
      <c r="F92" t="s">
        <v>43</v>
      </c>
      <c r="G92" t="s">
        <v>100</v>
      </c>
      <c r="H92" t="s">
        <v>115</v>
      </c>
      <c r="I92" t="s">
        <v>151</v>
      </c>
      <c r="J92" t="s">
        <v>42</v>
      </c>
      <c r="K92" s="2">
        <v>147130</v>
      </c>
      <c r="L92" s="2">
        <v>154487</v>
      </c>
      <c r="M92" s="2">
        <v>228641</v>
      </c>
      <c r="N92" s="3">
        <v>1070</v>
      </c>
      <c r="O92" s="3">
        <v>9</v>
      </c>
      <c r="P92" s="4">
        <v>0.6</v>
      </c>
      <c r="Q92" s="5">
        <v>1</v>
      </c>
      <c r="R92" s="6">
        <v>73.900000000000006</v>
      </c>
      <c r="S92" s="6">
        <v>18.7</v>
      </c>
    </row>
    <row r="93" spans="1:19">
      <c r="A93" t="s">
        <v>427</v>
      </c>
      <c r="B93" t="s">
        <v>428</v>
      </c>
      <c r="C93" s="1">
        <v>46247</v>
      </c>
      <c r="D93" t="s">
        <v>82</v>
      </c>
      <c r="E93" t="s">
        <v>377</v>
      </c>
      <c r="F93" t="s">
        <v>47</v>
      </c>
      <c r="G93" t="s">
        <v>93</v>
      </c>
      <c r="H93" t="s">
        <v>124</v>
      </c>
      <c r="I93" t="s">
        <v>149</v>
      </c>
      <c r="J93" t="s">
        <v>45</v>
      </c>
      <c r="K93" s="2">
        <v>164487</v>
      </c>
      <c r="L93" s="2">
        <v>194095</v>
      </c>
      <c r="M93" s="2">
        <v>308611</v>
      </c>
      <c r="N93" s="3">
        <v>1143</v>
      </c>
      <c r="O93" s="3">
        <v>14</v>
      </c>
      <c r="P93" s="4">
        <v>0.22</v>
      </c>
      <c r="Q93" s="5">
        <v>7</v>
      </c>
      <c r="R93" s="6">
        <v>74.040000000000006</v>
      </c>
      <c r="S93" s="6">
        <v>18.809999999999999</v>
      </c>
    </row>
    <row r="94" spans="1:19">
      <c r="A94" t="s">
        <v>429</v>
      </c>
      <c r="B94" t="s">
        <v>430</v>
      </c>
      <c r="C94" s="1">
        <v>46285</v>
      </c>
      <c r="D94" t="s">
        <v>83</v>
      </c>
      <c r="E94" t="s">
        <v>377</v>
      </c>
      <c r="F94" t="s">
        <v>49</v>
      </c>
      <c r="G94" t="s">
        <v>99</v>
      </c>
      <c r="H94" t="s">
        <v>118</v>
      </c>
      <c r="I94" t="s">
        <v>147</v>
      </c>
      <c r="J94" t="s">
        <v>48</v>
      </c>
      <c r="K94" s="2">
        <v>181844</v>
      </c>
      <c r="L94" s="2">
        <v>170933</v>
      </c>
      <c r="M94" s="2">
        <v>208538</v>
      </c>
      <c r="N94" s="3">
        <v>1216</v>
      </c>
      <c r="O94" s="3">
        <v>7</v>
      </c>
      <c r="P94" s="4">
        <v>0.51</v>
      </c>
      <c r="Q94" s="5">
        <v>7</v>
      </c>
      <c r="R94" s="6">
        <v>74.180000000000007</v>
      </c>
      <c r="S94" s="6">
        <v>18.920000000000002</v>
      </c>
    </row>
    <row r="95" spans="1:19">
      <c r="A95" t="s">
        <v>431</v>
      </c>
      <c r="B95" t="s">
        <v>432</v>
      </c>
      <c r="C95" s="1">
        <v>46297</v>
      </c>
      <c r="D95" t="s">
        <v>84</v>
      </c>
      <c r="E95" t="s">
        <v>384</v>
      </c>
      <c r="F95" t="s">
        <v>54</v>
      </c>
      <c r="G95" t="s">
        <v>101</v>
      </c>
      <c r="H95" t="s">
        <v>111</v>
      </c>
      <c r="I95" t="s">
        <v>156</v>
      </c>
      <c r="J95" t="s">
        <v>46</v>
      </c>
      <c r="K95" s="2">
        <v>199201</v>
      </c>
      <c r="L95" s="2">
        <v>213145</v>
      </c>
      <c r="M95" s="2">
        <v>283483</v>
      </c>
      <c r="N95" s="3">
        <v>1289</v>
      </c>
      <c r="O95" s="3">
        <v>12</v>
      </c>
      <c r="P95" s="4">
        <v>1</v>
      </c>
      <c r="Q95" s="5">
        <v>4</v>
      </c>
      <c r="R95" s="6">
        <v>74.319999999999993</v>
      </c>
      <c r="S95" s="6">
        <v>19.03</v>
      </c>
    </row>
    <row r="96" spans="1:19">
      <c r="A96" t="s">
        <v>433</v>
      </c>
      <c r="B96" t="s">
        <v>434</v>
      </c>
      <c r="C96" s="1">
        <v>46335</v>
      </c>
      <c r="D96" t="s">
        <v>85</v>
      </c>
      <c r="E96" t="s">
        <v>384</v>
      </c>
      <c r="F96" t="s">
        <v>55</v>
      </c>
      <c r="G96" t="s">
        <v>98</v>
      </c>
      <c r="H96" t="s">
        <v>7</v>
      </c>
      <c r="I96" t="s">
        <v>154</v>
      </c>
      <c r="J96" t="s">
        <v>42</v>
      </c>
      <c r="K96" s="2">
        <v>216558</v>
      </c>
      <c r="L96" s="2">
        <v>179743</v>
      </c>
      <c r="M96" s="2">
        <v>258830</v>
      </c>
      <c r="N96" s="3">
        <v>1362</v>
      </c>
      <c r="O96" s="3">
        <v>5</v>
      </c>
      <c r="P96" s="4">
        <v>0.88</v>
      </c>
      <c r="Q96" s="5">
        <v>1</v>
      </c>
      <c r="R96" s="6">
        <v>74.459999999999994</v>
      </c>
      <c r="S96" s="6">
        <v>19.14</v>
      </c>
    </row>
    <row r="97" spans="1:19">
      <c r="A97" t="s">
        <v>435</v>
      </c>
      <c r="B97" t="s">
        <v>436</v>
      </c>
      <c r="C97" s="1">
        <v>46372</v>
      </c>
      <c r="D97" t="s">
        <v>86</v>
      </c>
      <c r="E97" t="s">
        <v>384</v>
      </c>
      <c r="F97" t="s">
        <v>43</v>
      </c>
      <c r="G97" t="s">
        <v>101</v>
      </c>
      <c r="H97" t="s">
        <v>115</v>
      </c>
      <c r="I97" t="s">
        <v>152</v>
      </c>
      <c r="J97" t="s">
        <v>45</v>
      </c>
      <c r="K97" s="2">
        <v>233915</v>
      </c>
      <c r="L97" s="2">
        <v>224558</v>
      </c>
      <c r="M97" s="2">
        <v>348065</v>
      </c>
      <c r="N97" s="3">
        <v>1435</v>
      </c>
      <c r="O97" s="3">
        <v>10</v>
      </c>
      <c r="P97" s="4">
        <v>0.3</v>
      </c>
      <c r="Q97" s="5">
        <v>8</v>
      </c>
      <c r="R97" s="6">
        <v>74.599999999999994</v>
      </c>
      <c r="S97" s="6">
        <v>19.25</v>
      </c>
    </row>
    <row r="98" spans="1:19">
      <c r="A98" t="s">
        <v>437</v>
      </c>
      <c r="B98" t="s">
        <v>438</v>
      </c>
      <c r="C98" s="1">
        <v>46045</v>
      </c>
      <c r="D98" t="s">
        <v>75</v>
      </c>
      <c r="E98" t="s">
        <v>363</v>
      </c>
      <c r="F98" t="s">
        <v>47</v>
      </c>
      <c r="G98" t="s">
        <v>98</v>
      </c>
      <c r="H98" t="s">
        <v>124</v>
      </c>
      <c r="I98" t="s">
        <v>151</v>
      </c>
      <c r="J98" t="s">
        <v>48</v>
      </c>
      <c r="K98" s="2">
        <v>251272</v>
      </c>
      <c r="L98" s="2">
        <v>273886</v>
      </c>
      <c r="M98" s="2">
        <v>323185</v>
      </c>
      <c r="N98" s="3">
        <v>1508</v>
      </c>
      <c r="O98" s="3">
        <v>3</v>
      </c>
      <c r="P98" s="4">
        <v>0.63</v>
      </c>
      <c r="Q98" s="5">
        <v>7</v>
      </c>
      <c r="R98" s="6">
        <v>74.739999999999995</v>
      </c>
      <c r="S98" s="6">
        <v>19.36</v>
      </c>
    </row>
    <row r="99" spans="1:19">
      <c r="A99" t="s">
        <v>439</v>
      </c>
      <c r="B99" t="s">
        <v>440</v>
      </c>
      <c r="C99" s="1">
        <v>46058</v>
      </c>
      <c r="D99" t="s">
        <v>76</v>
      </c>
      <c r="E99" t="s">
        <v>363</v>
      </c>
      <c r="F99" t="s">
        <v>49</v>
      </c>
      <c r="G99" t="s">
        <v>100</v>
      </c>
      <c r="H99" t="s">
        <v>118</v>
      </c>
      <c r="I99" t="s">
        <v>149</v>
      </c>
      <c r="J99" t="s">
        <v>46</v>
      </c>
      <c r="K99" s="2">
        <v>268629</v>
      </c>
      <c r="L99" s="2">
        <v>228335</v>
      </c>
      <c r="M99" s="2">
        <v>294552</v>
      </c>
      <c r="N99" s="3">
        <v>1581</v>
      </c>
      <c r="O99" s="3">
        <v>8</v>
      </c>
      <c r="P99" s="4">
        <v>1</v>
      </c>
      <c r="Q99" s="5">
        <v>4</v>
      </c>
      <c r="R99" s="6">
        <v>74.88</v>
      </c>
      <c r="S99" s="6">
        <v>19.47</v>
      </c>
    </row>
    <row r="100" spans="1:19">
      <c r="A100" t="s">
        <v>441</v>
      </c>
      <c r="B100" t="s">
        <v>442</v>
      </c>
      <c r="C100" s="1">
        <v>46093</v>
      </c>
      <c r="D100" t="s">
        <v>77</v>
      </c>
      <c r="E100" t="s">
        <v>363</v>
      </c>
      <c r="F100" t="s">
        <v>54</v>
      </c>
      <c r="G100" t="s">
        <v>93</v>
      </c>
      <c r="H100" t="s">
        <v>111</v>
      </c>
      <c r="I100" t="s">
        <v>147</v>
      </c>
      <c r="J100" t="s">
        <v>42</v>
      </c>
      <c r="K100" s="2">
        <v>285986</v>
      </c>
      <c r="L100" s="2">
        <v>280266</v>
      </c>
      <c r="M100" s="2">
        <v>392372</v>
      </c>
      <c r="N100" s="3">
        <v>234</v>
      </c>
      <c r="O100" s="3">
        <v>13</v>
      </c>
      <c r="P100" s="4">
        <v>0.61</v>
      </c>
      <c r="Q100" s="5">
        <v>1</v>
      </c>
      <c r="R100" s="6">
        <v>75.02</v>
      </c>
      <c r="S100" s="6">
        <v>19.579999999999998</v>
      </c>
    </row>
    <row r="101" spans="1:19">
      <c r="A101" t="s">
        <v>443</v>
      </c>
      <c r="B101" t="s">
        <v>444</v>
      </c>
      <c r="C101" s="1">
        <v>46131</v>
      </c>
      <c r="D101" t="s">
        <v>78</v>
      </c>
      <c r="E101" t="s">
        <v>370</v>
      </c>
      <c r="F101" t="s">
        <v>55</v>
      </c>
      <c r="G101" t="s">
        <v>99</v>
      </c>
      <c r="H101" t="s">
        <v>7</v>
      </c>
      <c r="I101" t="s">
        <v>156</v>
      </c>
      <c r="J101" t="s">
        <v>42</v>
      </c>
      <c r="K101" s="2">
        <v>58343</v>
      </c>
      <c r="L101" s="2">
        <v>64761</v>
      </c>
      <c r="M101" s="2">
        <v>97789</v>
      </c>
      <c r="N101" s="3">
        <v>307</v>
      </c>
      <c r="O101" s="3">
        <v>6</v>
      </c>
      <c r="P101" s="4">
        <v>0.67999999999999994</v>
      </c>
      <c r="Q101" s="5">
        <v>4</v>
      </c>
      <c r="R101" s="6">
        <v>75.16</v>
      </c>
      <c r="S101" s="6">
        <v>19.690000000000001</v>
      </c>
    </row>
    <row r="102" spans="1:19">
      <c r="A102" t="s">
        <v>445</v>
      </c>
      <c r="B102" t="s">
        <v>446</v>
      </c>
      <c r="C102" s="1">
        <v>46143</v>
      </c>
      <c r="D102" t="s">
        <v>79</v>
      </c>
      <c r="E102" t="s">
        <v>370</v>
      </c>
      <c r="F102" t="s">
        <v>43</v>
      </c>
      <c r="G102" t="s">
        <v>93</v>
      </c>
      <c r="H102" t="s">
        <v>115</v>
      </c>
      <c r="I102" t="s">
        <v>154</v>
      </c>
      <c r="J102" t="s">
        <v>45</v>
      </c>
      <c r="K102" s="2">
        <v>75700</v>
      </c>
      <c r="L102" s="2">
        <v>65859</v>
      </c>
      <c r="M102" s="2">
        <v>106692</v>
      </c>
      <c r="N102" s="3">
        <v>380</v>
      </c>
      <c r="O102" s="3">
        <v>11</v>
      </c>
      <c r="P102" s="4">
        <v>0.4</v>
      </c>
      <c r="Q102" s="5">
        <v>7</v>
      </c>
      <c r="R102" s="6">
        <v>72.5</v>
      </c>
      <c r="S102" s="6">
        <v>19.8</v>
      </c>
    </row>
    <row r="103" spans="1:19">
      <c r="A103" t="s">
        <v>447</v>
      </c>
      <c r="B103" t="s">
        <v>448</v>
      </c>
      <c r="C103" s="1">
        <v>46181</v>
      </c>
      <c r="D103" t="s">
        <v>80</v>
      </c>
      <c r="E103" t="s">
        <v>370</v>
      </c>
      <c r="F103" t="s">
        <v>47</v>
      </c>
      <c r="G103" t="s">
        <v>99</v>
      </c>
      <c r="H103" t="s">
        <v>124</v>
      </c>
      <c r="I103" t="s">
        <v>152</v>
      </c>
      <c r="J103" t="s">
        <v>48</v>
      </c>
      <c r="K103" s="2">
        <v>93057</v>
      </c>
      <c r="L103" s="2">
        <v>93057</v>
      </c>
      <c r="M103" s="2">
        <v>116321</v>
      </c>
      <c r="N103" s="3">
        <v>453</v>
      </c>
      <c r="O103" s="3">
        <v>4</v>
      </c>
      <c r="P103" s="4">
        <v>0.28000000000000003</v>
      </c>
      <c r="Q103" s="5">
        <v>8</v>
      </c>
      <c r="R103" s="6">
        <v>72.64</v>
      </c>
      <c r="S103" s="6">
        <v>19.91</v>
      </c>
    </row>
    <row r="104" spans="1:19">
      <c r="A104" t="s">
        <v>449</v>
      </c>
      <c r="B104" t="s">
        <v>450</v>
      </c>
      <c r="C104" s="1">
        <v>46218</v>
      </c>
      <c r="D104" t="s">
        <v>81</v>
      </c>
      <c r="E104" t="s">
        <v>377</v>
      </c>
      <c r="F104" t="s">
        <v>49</v>
      </c>
      <c r="G104" t="s">
        <v>101</v>
      </c>
      <c r="H104" t="s">
        <v>118</v>
      </c>
      <c r="I104" t="s">
        <v>151</v>
      </c>
      <c r="J104" t="s">
        <v>46</v>
      </c>
      <c r="K104" s="2">
        <v>110414</v>
      </c>
      <c r="L104" s="2">
        <v>124768</v>
      </c>
      <c r="M104" s="2">
        <v>169684</v>
      </c>
      <c r="N104" s="3">
        <v>526</v>
      </c>
      <c r="O104" s="3">
        <v>9</v>
      </c>
      <c r="P104" s="4">
        <v>1</v>
      </c>
      <c r="Q104" s="5">
        <v>1</v>
      </c>
      <c r="R104" s="6">
        <v>72.78</v>
      </c>
      <c r="S104" s="6">
        <v>20.02</v>
      </c>
    </row>
    <row r="105" spans="1:19">
      <c r="A105" t="s">
        <v>451</v>
      </c>
      <c r="B105" t="s">
        <v>452</v>
      </c>
      <c r="C105" s="1">
        <v>46256</v>
      </c>
      <c r="D105" t="s">
        <v>82</v>
      </c>
      <c r="E105" t="s">
        <v>377</v>
      </c>
      <c r="F105" t="s">
        <v>54</v>
      </c>
      <c r="G105" t="s">
        <v>98</v>
      </c>
      <c r="H105" t="s">
        <v>111</v>
      </c>
      <c r="I105" t="s">
        <v>149</v>
      </c>
      <c r="J105" t="s">
        <v>42</v>
      </c>
      <c r="K105" s="2">
        <v>127771</v>
      </c>
      <c r="L105" s="2">
        <v>113716</v>
      </c>
      <c r="M105" s="2">
        <v>167163</v>
      </c>
      <c r="N105" s="3">
        <v>599</v>
      </c>
      <c r="O105" s="3">
        <v>14</v>
      </c>
      <c r="P105" s="4">
        <v>0.41</v>
      </c>
      <c r="Q105" s="5">
        <v>4</v>
      </c>
      <c r="R105" s="6">
        <v>72.92</v>
      </c>
      <c r="S105" s="6">
        <v>20.13</v>
      </c>
    </row>
    <row r="106" spans="1:19">
      <c r="A106" t="s">
        <v>453</v>
      </c>
      <c r="B106" t="s">
        <v>454</v>
      </c>
      <c r="C106" s="1">
        <v>46269</v>
      </c>
      <c r="D106" t="s">
        <v>83</v>
      </c>
      <c r="E106" t="s">
        <v>377</v>
      </c>
      <c r="F106" t="s">
        <v>55</v>
      </c>
      <c r="G106" t="s">
        <v>100</v>
      </c>
      <c r="H106" t="s">
        <v>7</v>
      </c>
      <c r="I106" t="s">
        <v>147</v>
      </c>
      <c r="J106" t="s">
        <v>45</v>
      </c>
      <c r="K106" s="2">
        <v>145128</v>
      </c>
      <c r="L106" s="2">
        <v>148031</v>
      </c>
      <c r="M106" s="2">
        <v>233889</v>
      </c>
      <c r="N106" s="3">
        <v>672</v>
      </c>
      <c r="O106" s="3">
        <v>7</v>
      </c>
      <c r="P106" s="4">
        <v>0.48</v>
      </c>
      <c r="Q106" s="5">
        <v>8</v>
      </c>
      <c r="R106" s="6">
        <v>73.06</v>
      </c>
      <c r="S106" s="6">
        <v>20.239999999999998</v>
      </c>
    </row>
    <row r="107" spans="1:19">
      <c r="A107" t="s">
        <v>455</v>
      </c>
      <c r="B107" t="s">
        <v>456</v>
      </c>
      <c r="C107" s="1">
        <v>46306</v>
      </c>
      <c r="D107" t="s">
        <v>84</v>
      </c>
      <c r="E107" t="s">
        <v>384</v>
      </c>
      <c r="F107" t="s">
        <v>43</v>
      </c>
      <c r="G107" t="s">
        <v>98</v>
      </c>
      <c r="H107" t="s">
        <v>115</v>
      </c>
      <c r="I107" t="s">
        <v>156</v>
      </c>
      <c r="J107" t="s">
        <v>48</v>
      </c>
      <c r="K107" s="2">
        <v>162485</v>
      </c>
      <c r="L107" s="2">
        <v>186858</v>
      </c>
      <c r="M107" s="2">
        <v>226098</v>
      </c>
      <c r="N107" s="3">
        <v>745</v>
      </c>
      <c r="O107" s="3">
        <v>12</v>
      </c>
      <c r="P107" s="4">
        <v>0.4</v>
      </c>
      <c r="Q107" s="5">
        <v>8</v>
      </c>
      <c r="R107" s="6">
        <v>73.2</v>
      </c>
      <c r="S107" s="6">
        <v>18.7</v>
      </c>
    </row>
    <row r="108" spans="1:19">
      <c r="A108" t="s">
        <v>457</v>
      </c>
      <c r="B108" t="s">
        <v>458</v>
      </c>
      <c r="C108" s="1">
        <v>46344</v>
      </c>
      <c r="D108" t="s">
        <v>85</v>
      </c>
      <c r="E108" t="s">
        <v>384</v>
      </c>
      <c r="F108" t="s">
        <v>47</v>
      </c>
      <c r="G108" t="s">
        <v>100</v>
      </c>
      <c r="H108" t="s">
        <v>124</v>
      </c>
      <c r="I108" t="s">
        <v>154</v>
      </c>
      <c r="J108" t="s">
        <v>46</v>
      </c>
      <c r="K108" s="2">
        <v>179842</v>
      </c>
      <c r="L108" s="2">
        <v>163656</v>
      </c>
      <c r="M108" s="2">
        <v>216026</v>
      </c>
      <c r="N108" s="3">
        <v>818</v>
      </c>
      <c r="O108" s="3">
        <v>5</v>
      </c>
      <c r="P108" s="4">
        <v>1</v>
      </c>
      <c r="Q108" s="5">
        <v>1</v>
      </c>
      <c r="R108" s="6">
        <v>73.34</v>
      </c>
      <c r="S108" s="6">
        <v>18.809999999999999</v>
      </c>
    </row>
    <row r="109" spans="1:19">
      <c r="A109" t="s">
        <v>459</v>
      </c>
      <c r="B109" t="s">
        <v>460</v>
      </c>
      <c r="C109" s="1">
        <v>46381</v>
      </c>
      <c r="D109" t="s">
        <v>86</v>
      </c>
      <c r="E109" t="s">
        <v>384</v>
      </c>
      <c r="F109" t="s">
        <v>49</v>
      </c>
      <c r="G109" t="s">
        <v>93</v>
      </c>
      <c r="H109" t="s">
        <v>118</v>
      </c>
      <c r="I109" t="s">
        <v>152</v>
      </c>
      <c r="J109" t="s">
        <v>42</v>
      </c>
      <c r="K109" s="2">
        <v>197199</v>
      </c>
      <c r="L109" s="2">
        <v>205087</v>
      </c>
      <c r="M109" s="2">
        <v>293274</v>
      </c>
      <c r="N109" s="3">
        <v>891</v>
      </c>
      <c r="O109" s="3">
        <v>10</v>
      </c>
      <c r="P109" s="4">
        <v>0.69</v>
      </c>
      <c r="Q109" s="5">
        <v>4</v>
      </c>
      <c r="R109" s="6">
        <v>73.48</v>
      </c>
      <c r="S109" s="6">
        <v>18.920000000000002</v>
      </c>
    </row>
    <row r="110" spans="1:19">
      <c r="A110" t="s">
        <v>461</v>
      </c>
      <c r="B110" t="s">
        <v>462</v>
      </c>
      <c r="C110" s="1">
        <v>46029</v>
      </c>
      <c r="D110" t="s">
        <v>75</v>
      </c>
      <c r="E110" t="s">
        <v>363</v>
      </c>
      <c r="F110" t="s">
        <v>54</v>
      </c>
      <c r="G110" t="s">
        <v>99</v>
      </c>
      <c r="H110" t="s">
        <v>111</v>
      </c>
      <c r="I110" t="s">
        <v>151</v>
      </c>
      <c r="J110" t="s">
        <v>42</v>
      </c>
      <c r="K110" s="2">
        <v>214556</v>
      </c>
      <c r="L110" s="2">
        <v>251031</v>
      </c>
      <c r="M110" s="2">
        <v>386588</v>
      </c>
      <c r="N110" s="3">
        <v>964</v>
      </c>
      <c r="O110" s="3">
        <v>3</v>
      </c>
      <c r="P110" s="4">
        <v>0.76</v>
      </c>
      <c r="Q110" s="5">
        <v>1</v>
      </c>
      <c r="R110" s="6">
        <v>73.62</v>
      </c>
      <c r="S110" s="6">
        <v>19.03</v>
      </c>
    </row>
    <row r="111" spans="1:19">
      <c r="A111" t="s">
        <v>463</v>
      </c>
      <c r="B111" t="s">
        <v>464</v>
      </c>
      <c r="C111" s="1">
        <v>46067</v>
      </c>
      <c r="D111" t="s">
        <v>76</v>
      </c>
      <c r="E111" t="s">
        <v>363</v>
      </c>
      <c r="F111" t="s">
        <v>55</v>
      </c>
      <c r="G111" t="s">
        <v>101</v>
      </c>
      <c r="H111" t="s">
        <v>7</v>
      </c>
      <c r="I111" t="s">
        <v>149</v>
      </c>
      <c r="J111" t="s">
        <v>45</v>
      </c>
      <c r="K111" s="2">
        <v>231913</v>
      </c>
      <c r="L111" s="2">
        <v>215679</v>
      </c>
      <c r="M111" s="2">
        <v>355870</v>
      </c>
      <c r="N111" s="3">
        <v>1037</v>
      </c>
      <c r="O111" s="3">
        <v>8</v>
      </c>
      <c r="P111" s="4">
        <v>0.22999999999999998</v>
      </c>
      <c r="Q111" s="5">
        <v>7</v>
      </c>
      <c r="R111" s="6">
        <v>73.760000000000005</v>
      </c>
      <c r="S111" s="6">
        <v>19.14</v>
      </c>
    </row>
    <row r="112" spans="1:19">
      <c r="A112" t="s">
        <v>465</v>
      </c>
      <c r="B112" t="s">
        <v>466</v>
      </c>
      <c r="C112" s="1">
        <v>46102</v>
      </c>
      <c r="D112" t="s">
        <v>77</v>
      </c>
      <c r="E112" t="s">
        <v>363</v>
      </c>
      <c r="F112" t="s">
        <v>43</v>
      </c>
      <c r="G112" t="s">
        <v>99</v>
      </c>
      <c r="H112" t="s">
        <v>115</v>
      </c>
      <c r="I112" t="s">
        <v>147</v>
      </c>
      <c r="J112" t="s">
        <v>48</v>
      </c>
      <c r="K112" s="2">
        <v>249270</v>
      </c>
      <c r="L112" s="2">
        <v>264226</v>
      </c>
      <c r="M112" s="2">
        <v>338209</v>
      </c>
      <c r="N112" s="3">
        <v>1110</v>
      </c>
      <c r="O112" s="3">
        <v>13</v>
      </c>
      <c r="P112" s="4">
        <v>0.55000000000000004</v>
      </c>
      <c r="Q112" s="5">
        <v>9</v>
      </c>
      <c r="R112" s="6">
        <v>73.900000000000006</v>
      </c>
      <c r="S112" s="6">
        <v>19.25</v>
      </c>
    </row>
    <row r="113" spans="1:19">
      <c r="A113" t="s">
        <v>467</v>
      </c>
      <c r="B113" t="s">
        <v>468</v>
      </c>
      <c r="C113" s="1">
        <v>46115</v>
      </c>
      <c r="D113" t="s">
        <v>78</v>
      </c>
      <c r="E113" t="s">
        <v>370</v>
      </c>
      <c r="F113" t="s">
        <v>47</v>
      </c>
      <c r="G113" t="s">
        <v>101</v>
      </c>
      <c r="H113" t="s">
        <v>124</v>
      </c>
      <c r="I113" t="s">
        <v>156</v>
      </c>
      <c r="J113" t="s">
        <v>46</v>
      </c>
      <c r="K113" s="2">
        <v>266627</v>
      </c>
      <c r="L113" s="2">
        <v>218634</v>
      </c>
      <c r="M113" s="2">
        <v>303901</v>
      </c>
      <c r="N113" s="3">
        <v>1183</v>
      </c>
      <c r="O113" s="3">
        <v>6</v>
      </c>
      <c r="P113" s="4">
        <v>1</v>
      </c>
      <c r="Q113" s="5">
        <v>4</v>
      </c>
      <c r="R113" s="6">
        <v>74.040000000000006</v>
      </c>
      <c r="S113" s="6">
        <v>19.36</v>
      </c>
    </row>
    <row r="114" spans="1:19">
      <c r="A114" t="s">
        <v>469</v>
      </c>
      <c r="B114" t="s">
        <v>470</v>
      </c>
      <c r="C114" s="1">
        <v>46152</v>
      </c>
      <c r="D114" t="s">
        <v>79</v>
      </c>
      <c r="E114" t="s">
        <v>370</v>
      </c>
      <c r="F114" t="s">
        <v>49</v>
      </c>
      <c r="G114" t="s">
        <v>98</v>
      </c>
      <c r="H114" t="s">
        <v>118</v>
      </c>
      <c r="I114" t="s">
        <v>154</v>
      </c>
      <c r="J114" t="s">
        <v>42</v>
      </c>
      <c r="K114" s="2">
        <v>283984</v>
      </c>
      <c r="L114" s="2">
        <v>269785</v>
      </c>
      <c r="M114" s="2">
        <v>404678</v>
      </c>
      <c r="N114" s="3">
        <v>1256</v>
      </c>
      <c r="O114" s="3">
        <v>11</v>
      </c>
      <c r="P114" s="4">
        <v>0.49</v>
      </c>
      <c r="Q114" s="5">
        <v>1</v>
      </c>
      <c r="R114" s="6">
        <v>74.180000000000007</v>
      </c>
      <c r="S114" s="6">
        <v>19.47</v>
      </c>
    </row>
    <row r="115" spans="1:19">
      <c r="A115" t="s">
        <v>471</v>
      </c>
      <c r="B115" t="s">
        <v>472</v>
      </c>
      <c r="C115" s="1">
        <v>46190</v>
      </c>
      <c r="D115" t="s">
        <v>80</v>
      </c>
      <c r="E115" t="s">
        <v>370</v>
      </c>
      <c r="F115" t="s">
        <v>54</v>
      </c>
      <c r="G115" t="s">
        <v>100</v>
      </c>
      <c r="H115" t="s">
        <v>111</v>
      </c>
      <c r="I115" t="s">
        <v>152</v>
      </c>
      <c r="J115" t="s">
        <v>45</v>
      </c>
      <c r="K115" s="2">
        <v>56341</v>
      </c>
      <c r="L115" s="2">
        <v>60848</v>
      </c>
      <c r="M115" s="2">
        <v>97965</v>
      </c>
      <c r="N115" s="3">
        <v>1329</v>
      </c>
      <c r="O115" s="3">
        <v>4</v>
      </c>
      <c r="P115" s="4">
        <v>0.31</v>
      </c>
      <c r="Q115" s="5">
        <v>8</v>
      </c>
      <c r="R115" s="6">
        <v>74.319999999999993</v>
      </c>
      <c r="S115" s="6">
        <v>19.579999999999998</v>
      </c>
    </row>
    <row r="116" spans="1:19">
      <c r="A116" t="s">
        <v>473</v>
      </c>
      <c r="B116" t="s">
        <v>474</v>
      </c>
      <c r="C116" s="1">
        <v>46227</v>
      </c>
      <c r="D116" t="s">
        <v>81</v>
      </c>
      <c r="E116" t="s">
        <v>377</v>
      </c>
      <c r="F116" t="s">
        <v>55</v>
      </c>
      <c r="G116" t="s">
        <v>93</v>
      </c>
      <c r="H116" t="s">
        <v>7</v>
      </c>
      <c r="I116" t="s">
        <v>151</v>
      </c>
      <c r="J116" t="s">
        <v>48</v>
      </c>
      <c r="K116" s="2">
        <v>73698</v>
      </c>
      <c r="L116" s="2">
        <v>61906</v>
      </c>
      <c r="M116" s="2">
        <v>76763</v>
      </c>
      <c r="N116" s="3">
        <v>1402</v>
      </c>
      <c r="O116" s="3">
        <v>9</v>
      </c>
      <c r="P116" s="4">
        <v>0.66999999999999993</v>
      </c>
      <c r="Q116" s="5">
        <v>9</v>
      </c>
      <c r="R116" s="6">
        <v>74.459999999999994</v>
      </c>
      <c r="S116" s="6">
        <v>19.690000000000001</v>
      </c>
    </row>
    <row r="117" spans="1:19">
      <c r="A117" t="s">
        <v>475</v>
      </c>
      <c r="B117" t="s">
        <v>476</v>
      </c>
      <c r="C117" s="1">
        <v>46240</v>
      </c>
      <c r="D117" t="s">
        <v>82</v>
      </c>
      <c r="E117" t="s">
        <v>377</v>
      </c>
      <c r="F117" t="s">
        <v>43</v>
      </c>
      <c r="G117" t="s">
        <v>100</v>
      </c>
      <c r="H117" t="s">
        <v>115</v>
      </c>
      <c r="I117" t="s">
        <v>149</v>
      </c>
      <c r="J117" t="s">
        <v>46</v>
      </c>
      <c r="K117" s="2">
        <v>91055</v>
      </c>
      <c r="L117" s="2">
        <v>88323</v>
      </c>
      <c r="M117" s="2">
        <v>119236</v>
      </c>
      <c r="N117" s="3">
        <v>1475</v>
      </c>
      <c r="O117" s="3">
        <v>14</v>
      </c>
      <c r="P117" s="4">
        <v>1</v>
      </c>
      <c r="Q117" s="5">
        <v>4</v>
      </c>
      <c r="R117" s="6">
        <v>74.599999999999994</v>
      </c>
      <c r="S117" s="6">
        <v>19.8</v>
      </c>
    </row>
    <row r="118" spans="1:19">
      <c r="A118" t="s">
        <v>477</v>
      </c>
      <c r="B118" t="s">
        <v>478</v>
      </c>
      <c r="C118" s="1">
        <v>46278</v>
      </c>
      <c r="D118" t="s">
        <v>83</v>
      </c>
      <c r="E118" t="s">
        <v>377</v>
      </c>
      <c r="F118" t="s">
        <v>47</v>
      </c>
      <c r="G118" t="s">
        <v>93</v>
      </c>
      <c r="H118" t="s">
        <v>124</v>
      </c>
      <c r="I118" t="s">
        <v>147</v>
      </c>
      <c r="J118" t="s">
        <v>42</v>
      </c>
      <c r="K118" s="2">
        <v>108412</v>
      </c>
      <c r="L118" s="2">
        <v>119253</v>
      </c>
      <c r="M118" s="2">
        <v>174109</v>
      </c>
      <c r="N118" s="3">
        <v>1548</v>
      </c>
      <c r="O118" s="3">
        <v>7</v>
      </c>
      <c r="P118" s="4">
        <v>0.77</v>
      </c>
      <c r="Q118" s="5">
        <v>1</v>
      </c>
      <c r="R118" s="6">
        <v>74.739999999999995</v>
      </c>
      <c r="S118" s="6">
        <v>19.91</v>
      </c>
    </row>
    <row r="119" spans="1:19">
      <c r="A119" t="s">
        <v>479</v>
      </c>
      <c r="B119" t="s">
        <v>480</v>
      </c>
      <c r="C119" s="1">
        <v>46315</v>
      </c>
      <c r="D119" t="s">
        <v>84</v>
      </c>
      <c r="E119" t="s">
        <v>384</v>
      </c>
      <c r="F119" t="s">
        <v>49</v>
      </c>
      <c r="G119" t="s">
        <v>99</v>
      </c>
      <c r="H119" t="s">
        <v>118</v>
      </c>
      <c r="I119" t="s">
        <v>156</v>
      </c>
      <c r="J119" t="s">
        <v>42</v>
      </c>
      <c r="K119" s="2">
        <v>125769</v>
      </c>
      <c r="L119" s="2">
        <v>108161</v>
      </c>
      <c r="M119" s="2">
        <v>169813</v>
      </c>
      <c r="N119" s="3">
        <v>201</v>
      </c>
      <c r="O119" s="3">
        <v>12</v>
      </c>
      <c r="P119" s="4">
        <v>0.84</v>
      </c>
      <c r="Q119" s="5">
        <v>4</v>
      </c>
      <c r="R119" s="6">
        <v>74.88</v>
      </c>
      <c r="S119" s="6">
        <v>20.02</v>
      </c>
    </row>
    <row r="120" spans="1:19">
      <c r="A120" t="s">
        <v>481</v>
      </c>
      <c r="B120" t="s">
        <v>482</v>
      </c>
      <c r="C120" s="1">
        <v>46328</v>
      </c>
      <c r="D120" t="s">
        <v>85</v>
      </c>
      <c r="E120" t="s">
        <v>384</v>
      </c>
      <c r="F120" t="s">
        <v>54</v>
      </c>
      <c r="G120" t="s">
        <v>101</v>
      </c>
      <c r="H120" t="s">
        <v>111</v>
      </c>
      <c r="I120" t="s">
        <v>154</v>
      </c>
      <c r="J120" t="s">
        <v>45</v>
      </c>
      <c r="K120" s="2">
        <v>143126</v>
      </c>
      <c r="L120" s="2">
        <v>141695</v>
      </c>
      <c r="M120" s="2">
        <v>170034</v>
      </c>
      <c r="N120" s="3">
        <v>274</v>
      </c>
      <c r="O120" s="3">
        <v>5</v>
      </c>
      <c r="P120" s="4">
        <v>0.41000000000000003</v>
      </c>
      <c r="Q120" s="5">
        <v>7</v>
      </c>
      <c r="R120" s="6">
        <v>75.02</v>
      </c>
      <c r="S120" s="6">
        <v>20.13</v>
      </c>
    </row>
    <row r="121" spans="1:19">
      <c r="A121" t="s">
        <v>483</v>
      </c>
      <c r="B121" t="s">
        <v>484</v>
      </c>
      <c r="C121" s="1">
        <v>46365</v>
      </c>
      <c r="D121" t="s">
        <v>86</v>
      </c>
      <c r="E121" t="s">
        <v>384</v>
      </c>
      <c r="F121" t="s">
        <v>55</v>
      </c>
      <c r="G121" t="s">
        <v>98</v>
      </c>
      <c r="H121" t="s">
        <v>7</v>
      </c>
      <c r="I121" t="s">
        <v>152</v>
      </c>
      <c r="J121" t="s">
        <v>48</v>
      </c>
      <c r="K121" s="2">
        <v>160483</v>
      </c>
      <c r="L121" s="2">
        <v>179741</v>
      </c>
      <c r="M121" s="2">
        <v>235461</v>
      </c>
      <c r="N121" s="3">
        <v>347</v>
      </c>
      <c r="O121" s="3">
        <v>10</v>
      </c>
      <c r="P121" s="4">
        <v>0.32</v>
      </c>
      <c r="Q121" s="5">
        <v>10</v>
      </c>
      <c r="R121" s="6">
        <v>75.16</v>
      </c>
      <c r="S121" s="6">
        <v>20.239999999999998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62D5-CB07-4B85-87E3-7B9408C1E9CC}">
  <dimension ref="A1:Q145"/>
  <sheetViews>
    <sheetView workbookViewId="0">
      <selection activeCell="A5" sqref="A5:H5"/>
    </sheetView>
  </sheetViews>
  <sheetFormatPr defaultRowHeight="15"/>
  <cols>
    <col min="1" max="8" width="17.140625" customWidth="1"/>
    <col min="17" max="17" width="49.5703125" customWidth="1"/>
  </cols>
  <sheetData>
    <row r="1" spans="1:17" ht="23.25">
      <c r="A1" s="167" t="s">
        <v>485</v>
      </c>
      <c r="B1" s="167"/>
      <c r="C1" s="167"/>
      <c r="D1" s="167"/>
      <c r="E1" s="167"/>
      <c r="F1" s="167"/>
      <c r="G1" s="167"/>
      <c r="H1" s="167"/>
      <c r="Q1" t="s">
        <v>486</v>
      </c>
    </row>
    <row r="2" spans="1:17">
      <c r="A2" s="173" t="s">
        <v>487</v>
      </c>
      <c r="B2" s="173"/>
      <c r="C2" s="173"/>
      <c r="D2" s="173"/>
      <c r="E2" s="173"/>
      <c r="F2" s="173"/>
      <c r="G2" s="173"/>
      <c r="H2" s="173"/>
      <c r="Q2" t="s">
        <v>488</v>
      </c>
    </row>
    <row r="3" spans="1:17">
      <c r="Q3" t="s">
        <v>489</v>
      </c>
    </row>
    <row r="4" spans="1:17">
      <c r="A4" s="253" t="s">
        <v>490</v>
      </c>
      <c r="B4" s="253"/>
      <c r="C4" s="253"/>
      <c r="D4" s="253"/>
      <c r="E4" s="253"/>
      <c r="F4" s="253"/>
      <c r="G4" s="253"/>
      <c r="H4" s="253"/>
      <c r="Q4" t="s">
        <v>491</v>
      </c>
    </row>
    <row r="5" spans="1:17">
      <c r="A5" s="146"/>
      <c r="B5" s="147"/>
      <c r="C5" s="147"/>
      <c r="D5" s="147"/>
      <c r="E5" s="147"/>
      <c r="F5" s="147"/>
      <c r="G5" s="147"/>
      <c r="H5" s="147"/>
      <c r="I5" s="144"/>
      <c r="Q5" t="s">
        <v>492</v>
      </c>
    </row>
    <row r="6" spans="1:17">
      <c r="A6" s="146" t="s">
        <v>493</v>
      </c>
      <c r="B6" s="148"/>
      <c r="C6" s="148"/>
      <c r="D6" s="148"/>
      <c r="E6" s="148"/>
      <c r="F6" s="148"/>
      <c r="G6" s="148"/>
      <c r="H6" s="148"/>
      <c r="I6" s="144"/>
      <c r="Q6" t="s">
        <v>491</v>
      </c>
    </row>
    <row r="7" spans="1:17">
      <c r="A7" t="s">
        <v>494</v>
      </c>
      <c r="B7" s="143"/>
      <c r="C7" s="143"/>
      <c r="D7" s="143"/>
      <c r="E7" s="143"/>
      <c r="F7" s="143"/>
      <c r="G7" s="143"/>
      <c r="H7" s="143"/>
      <c r="I7" s="144"/>
      <c r="Q7" t="s">
        <v>495</v>
      </c>
    </row>
    <row r="8" spans="1:17">
      <c r="A8" t="s">
        <v>496</v>
      </c>
      <c r="B8" s="145"/>
      <c r="C8" s="145"/>
      <c r="D8" s="145"/>
      <c r="E8" s="145"/>
      <c r="F8" s="145"/>
      <c r="G8" s="145"/>
      <c r="H8" s="145"/>
      <c r="I8" s="144"/>
      <c r="Q8" t="s">
        <v>497</v>
      </c>
    </row>
    <row r="9" spans="1:17">
      <c r="A9" t="s">
        <v>498</v>
      </c>
      <c r="B9" s="145"/>
      <c r="C9" s="145"/>
      <c r="D9" s="145"/>
      <c r="E9" s="145"/>
      <c r="F9" s="145"/>
      <c r="G9" s="145"/>
      <c r="H9" s="145"/>
      <c r="I9" s="144"/>
      <c r="Q9" t="s">
        <v>491</v>
      </c>
    </row>
    <row r="10" spans="1:17">
      <c r="A10" s="142" t="s">
        <v>499</v>
      </c>
      <c r="B10" s="145"/>
      <c r="C10" s="145"/>
      <c r="D10" s="145"/>
      <c r="E10" s="145"/>
      <c r="F10" s="145"/>
      <c r="G10" s="145"/>
      <c r="H10" s="145"/>
      <c r="I10" s="144"/>
      <c r="Q10" t="s">
        <v>500</v>
      </c>
    </row>
    <row r="11" spans="1:17">
      <c r="A11" s="146" t="s">
        <v>501</v>
      </c>
      <c r="B11" s="148"/>
      <c r="C11" s="148"/>
      <c r="D11" s="148"/>
      <c r="E11" s="148"/>
      <c r="F11" s="148"/>
      <c r="G11" s="148"/>
      <c r="H11" s="148"/>
      <c r="I11" s="144"/>
      <c r="Q11" t="s">
        <v>502</v>
      </c>
    </row>
    <row r="12" spans="1:17">
      <c r="A12" s="142" t="s">
        <v>503</v>
      </c>
      <c r="B12" s="145"/>
      <c r="C12" s="145"/>
      <c r="D12" s="145"/>
      <c r="E12" s="145"/>
      <c r="F12" s="145"/>
      <c r="G12" s="145"/>
      <c r="H12" s="145"/>
      <c r="I12" s="144"/>
      <c r="Q12" t="s">
        <v>504</v>
      </c>
    </row>
    <row r="13" spans="1:17">
      <c r="A13" s="142" t="s">
        <v>505</v>
      </c>
      <c r="B13" s="145"/>
      <c r="C13" s="145"/>
      <c r="D13" s="145"/>
      <c r="E13" s="145"/>
      <c r="F13" s="145"/>
      <c r="G13" s="145"/>
      <c r="H13" s="145"/>
      <c r="I13" s="144"/>
      <c r="Q13" t="s">
        <v>506</v>
      </c>
    </row>
    <row r="14" spans="1:17">
      <c r="A14" s="142" t="s">
        <v>507</v>
      </c>
      <c r="B14" s="145"/>
      <c r="C14" s="145"/>
      <c r="D14" s="145"/>
      <c r="E14" s="145"/>
      <c r="F14" s="145"/>
      <c r="G14" s="145"/>
      <c r="H14" s="145"/>
      <c r="I14" s="144"/>
      <c r="Q14" t="s">
        <v>508</v>
      </c>
    </row>
    <row r="15" spans="1:17">
      <c r="A15" s="142" t="s">
        <v>509</v>
      </c>
      <c r="B15" s="143"/>
      <c r="C15" s="143"/>
      <c r="D15" s="143"/>
      <c r="E15" s="143"/>
      <c r="F15" s="143"/>
      <c r="G15" s="143"/>
      <c r="H15" s="143"/>
      <c r="I15" s="144"/>
      <c r="Q15" t="s">
        <v>510</v>
      </c>
    </row>
    <row r="16" spans="1:17">
      <c r="A16" s="142" t="s">
        <v>511</v>
      </c>
      <c r="B16" s="145"/>
      <c r="C16" s="145"/>
      <c r="D16" s="145"/>
      <c r="E16" s="145"/>
      <c r="F16" s="145"/>
      <c r="G16" s="145"/>
      <c r="H16" s="145"/>
      <c r="I16" s="144"/>
      <c r="Q16" t="s">
        <v>512</v>
      </c>
    </row>
    <row r="17" spans="1:17">
      <c r="A17" s="142" t="s">
        <v>513</v>
      </c>
      <c r="B17" s="145"/>
      <c r="C17" s="145"/>
      <c r="D17" s="145"/>
      <c r="E17" s="145"/>
      <c r="F17" s="145"/>
      <c r="G17" s="145"/>
      <c r="H17" s="145"/>
      <c r="I17" s="144"/>
      <c r="Q17" t="s">
        <v>491</v>
      </c>
    </row>
    <row r="18" spans="1:17">
      <c r="A18" s="142" t="s">
        <v>499</v>
      </c>
      <c r="B18" s="145"/>
      <c r="C18" s="145"/>
      <c r="D18" s="145"/>
      <c r="E18" s="145"/>
      <c r="F18" s="145"/>
      <c r="G18" s="145"/>
      <c r="H18" s="145"/>
      <c r="I18" s="144"/>
      <c r="Q18" t="s">
        <v>514</v>
      </c>
    </row>
    <row r="19" spans="1:17">
      <c r="A19" s="146" t="s">
        <v>515</v>
      </c>
      <c r="B19" s="148"/>
      <c r="C19" s="148"/>
      <c r="D19" s="148"/>
      <c r="E19" s="148"/>
      <c r="F19" s="148"/>
      <c r="G19" s="148"/>
      <c r="H19" s="145"/>
      <c r="I19" s="144"/>
      <c r="Q19" t="s">
        <v>516</v>
      </c>
    </row>
    <row r="20" spans="1:17">
      <c r="A20" s="146" t="s">
        <v>517</v>
      </c>
      <c r="B20" s="148"/>
      <c r="C20" s="148"/>
      <c r="D20" s="148"/>
      <c r="E20" s="148"/>
      <c r="F20" s="148"/>
      <c r="G20" s="148"/>
      <c r="H20" s="145"/>
      <c r="I20" s="144"/>
      <c r="Q20" t="s">
        <v>518</v>
      </c>
    </row>
    <row r="21" spans="1:17">
      <c r="A21" s="142" t="s">
        <v>519</v>
      </c>
      <c r="B21" s="145"/>
      <c r="C21" s="145"/>
      <c r="D21" s="145"/>
      <c r="E21" s="145"/>
      <c r="F21" s="145"/>
      <c r="G21" s="145"/>
      <c r="H21" s="145"/>
      <c r="I21" s="144"/>
      <c r="Q21" t="s">
        <v>520</v>
      </c>
    </row>
    <row r="22" spans="1:17">
      <c r="A22" s="142" t="s">
        <v>521</v>
      </c>
      <c r="B22" s="145"/>
      <c r="C22" s="145"/>
      <c r="D22" s="145"/>
      <c r="E22" s="145"/>
      <c r="F22" s="145"/>
      <c r="G22" s="145"/>
      <c r="H22" s="145"/>
      <c r="I22" s="144"/>
      <c r="Q22" t="s">
        <v>491</v>
      </c>
    </row>
    <row r="23" spans="1:17">
      <c r="A23" s="142" t="s">
        <v>522</v>
      </c>
      <c r="B23" s="145"/>
      <c r="C23" s="145"/>
      <c r="D23" s="145"/>
      <c r="E23" s="145"/>
      <c r="F23" s="145"/>
      <c r="G23" s="145"/>
      <c r="H23" s="145"/>
      <c r="I23" s="144"/>
      <c r="Q23" t="s">
        <v>523</v>
      </c>
    </row>
    <row r="24" spans="1:17">
      <c r="A24" s="142" t="s">
        <v>524</v>
      </c>
      <c r="B24" s="145"/>
      <c r="C24" s="145"/>
      <c r="D24" s="145"/>
      <c r="E24" s="145"/>
      <c r="F24" s="145"/>
      <c r="G24" s="145"/>
      <c r="H24" s="145"/>
      <c r="I24" s="144"/>
      <c r="Q24" t="s">
        <v>525</v>
      </c>
    </row>
    <row r="25" spans="1:17">
      <c r="A25" s="142" t="s">
        <v>526</v>
      </c>
      <c r="B25" s="143"/>
      <c r="C25" s="143"/>
      <c r="D25" s="143"/>
      <c r="E25" s="143"/>
      <c r="F25" s="143"/>
      <c r="G25" s="143"/>
      <c r="H25" s="143"/>
      <c r="I25" s="144"/>
      <c r="Q25" t="s">
        <v>527</v>
      </c>
    </row>
    <row r="26" spans="1:17">
      <c r="A26" s="142" t="s">
        <v>528</v>
      </c>
      <c r="B26" s="145"/>
      <c r="C26" s="145"/>
      <c r="D26" s="145"/>
      <c r="E26" s="145"/>
      <c r="F26" s="145"/>
      <c r="G26" s="145"/>
      <c r="H26" s="145"/>
      <c r="I26" s="144"/>
    </row>
    <row r="27" spans="1:17">
      <c r="A27" s="142" t="s">
        <v>529</v>
      </c>
      <c r="B27" s="143"/>
      <c r="C27" s="143"/>
      <c r="D27" s="143"/>
      <c r="E27" s="143"/>
      <c r="F27" s="143"/>
      <c r="G27" s="143"/>
      <c r="H27" s="143"/>
      <c r="I27" s="144"/>
    </row>
    <row r="28" spans="1:17">
      <c r="A28" s="142" t="s">
        <v>530</v>
      </c>
      <c r="B28" s="145"/>
      <c r="C28" s="145"/>
      <c r="D28" s="145"/>
      <c r="E28" s="145"/>
      <c r="F28" s="145"/>
      <c r="G28" s="145"/>
      <c r="H28" s="145"/>
      <c r="I28" s="144"/>
    </row>
    <row r="29" spans="1:17">
      <c r="A29" s="142" t="s">
        <v>531</v>
      </c>
      <c r="B29" s="143"/>
      <c r="C29" s="143"/>
      <c r="D29" s="143"/>
      <c r="E29" s="143"/>
      <c r="F29" s="143"/>
      <c r="G29" s="143"/>
      <c r="H29" s="143"/>
      <c r="I29" s="144"/>
    </row>
    <row r="30" spans="1:17">
      <c r="A30" s="146" t="s">
        <v>532</v>
      </c>
      <c r="B30" s="148"/>
      <c r="C30" s="148"/>
      <c r="D30" s="148"/>
      <c r="E30" s="148"/>
      <c r="F30" s="148"/>
      <c r="G30" s="148"/>
      <c r="H30" s="145"/>
      <c r="I30" s="144"/>
    </row>
    <row r="31" spans="1:17">
      <c r="A31" s="142" t="s">
        <v>533</v>
      </c>
      <c r="B31" s="144"/>
      <c r="C31" s="144"/>
      <c r="D31" s="144"/>
      <c r="E31" s="144"/>
      <c r="F31" s="144"/>
      <c r="G31" s="144"/>
      <c r="H31" s="144"/>
      <c r="I31" s="144"/>
    </row>
    <row r="32" spans="1:17">
      <c r="A32" s="142" t="s">
        <v>534</v>
      </c>
      <c r="B32" s="144"/>
      <c r="C32" s="144"/>
      <c r="D32" s="144"/>
      <c r="E32" s="144"/>
      <c r="F32" s="144"/>
      <c r="G32" s="144"/>
      <c r="H32" s="144"/>
      <c r="I32" s="144"/>
    </row>
    <row r="33" spans="1:9">
      <c r="A33" s="142" t="s">
        <v>535</v>
      </c>
      <c r="B33" s="144"/>
      <c r="C33" s="144"/>
      <c r="D33" s="144"/>
      <c r="E33" s="144"/>
      <c r="F33" s="144"/>
      <c r="G33" s="144"/>
      <c r="H33" s="144"/>
      <c r="I33" s="144"/>
    </row>
    <row r="34" spans="1:9">
      <c r="A34" s="142" t="s">
        <v>536</v>
      </c>
      <c r="B34" s="144"/>
      <c r="C34" s="144"/>
      <c r="D34" s="144"/>
      <c r="E34" s="144"/>
      <c r="F34" s="144"/>
      <c r="G34" s="144"/>
      <c r="H34" s="144"/>
      <c r="I34" s="144"/>
    </row>
    <row r="35" spans="1:9">
      <c r="A35" s="142" t="s">
        <v>537</v>
      </c>
      <c r="B35" s="144"/>
      <c r="C35" s="144"/>
      <c r="D35" s="144"/>
      <c r="E35" s="144"/>
      <c r="F35" s="144"/>
      <c r="G35" s="144"/>
      <c r="H35" s="144"/>
      <c r="I35" s="144"/>
    </row>
    <row r="36" spans="1:9">
      <c r="A36" s="142" t="s">
        <v>538</v>
      </c>
      <c r="B36" s="144"/>
      <c r="C36" s="144"/>
      <c r="D36" s="144"/>
      <c r="E36" s="144"/>
      <c r="F36" s="144"/>
      <c r="G36" s="144"/>
      <c r="H36" s="144"/>
      <c r="I36" s="144"/>
    </row>
    <row r="37" spans="1:9">
      <c r="A37" s="146" t="s">
        <v>539</v>
      </c>
      <c r="B37" s="146"/>
      <c r="C37" s="146"/>
      <c r="D37" s="146"/>
      <c r="E37" s="146"/>
      <c r="F37" s="146"/>
      <c r="G37" s="146"/>
      <c r="H37" s="144"/>
      <c r="I37" s="144"/>
    </row>
    <row r="38" spans="1:9">
      <c r="A38" s="142" t="s">
        <v>540</v>
      </c>
      <c r="B38" s="144"/>
      <c r="C38" s="144"/>
      <c r="D38" s="144"/>
      <c r="E38" s="144"/>
      <c r="F38" s="144"/>
      <c r="G38" s="144"/>
      <c r="H38" s="144"/>
      <c r="I38" s="144"/>
    </row>
    <row r="39" spans="1:9">
      <c r="A39" s="142" t="s">
        <v>541</v>
      </c>
      <c r="B39" s="144"/>
      <c r="C39" s="144"/>
      <c r="D39" s="144"/>
      <c r="E39" s="144"/>
      <c r="F39" s="144"/>
      <c r="G39" s="144"/>
      <c r="H39" s="144"/>
      <c r="I39" s="144"/>
    </row>
    <row r="40" spans="1:9">
      <c r="A40" s="142" t="s">
        <v>542</v>
      </c>
      <c r="B40" s="144"/>
      <c r="C40" s="144"/>
      <c r="D40" s="144"/>
      <c r="E40" s="144"/>
      <c r="F40" s="144"/>
      <c r="G40" s="144"/>
      <c r="H40" s="144"/>
      <c r="I40" s="144"/>
    </row>
    <row r="41" spans="1:9">
      <c r="A41" s="142" t="s">
        <v>543</v>
      </c>
      <c r="B41" s="144"/>
      <c r="C41" s="144"/>
      <c r="D41" s="144"/>
      <c r="E41" s="144"/>
      <c r="F41" s="144"/>
      <c r="G41" s="144"/>
      <c r="H41" s="144"/>
      <c r="I41" s="144"/>
    </row>
    <row r="42" spans="1:9">
      <c r="A42" s="142" t="s">
        <v>544</v>
      </c>
      <c r="B42" s="144"/>
      <c r="C42" s="144"/>
      <c r="D42" s="144"/>
      <c r="E42" s="144"/>
      <c r="F42" s="144"/>
      <c r="G42" s="144"/>
      <c r="H42" s="144"/>
      <c r="I42" s="144"/>
    </row>
    <row r="43" spans="1:9">
      <c r="A43" s="142" t="s">
        <v>545</v>
      </c>
      <c r="B43" s="144"/>
      <c r="C43" s="144"/>
      <c r="D43" s="144"/>
      <c r="E43" s="144"/>
      <c r="F43" s="144"/>
      <c r="G43" s="144"/>
      <c r="H43" s="144"/>
      <c r="I43" s="144"/>
    </row>
    <row r="44" spans="1:9">
      <c r="A44" s="146" t="s">
        <v>546</v>
      </c>
      <c r="B44" s="146"/>
      <c r="C44" s="146"/>
      <c r="D44" s="146"/>
      <c r="E44" s="146"/>
      <c r="F44" s="146"/>
      <c r="G44" s="146"/>
      <c r="H44" s="144"/>
      <c r="I44" s="144"/>
    </row>
    <row r="45" spans="1:9">
      <c r="A45" s="142" t="s">
        <v>547</v>
      </c>
      <c r="B45" s="144"/>
      <c r="C45" s="144"/>
      <c r="D45" s="144"/>
      <c r="E45" s="144"/>
      <c r="F45" s="144"/>
      <c r="G45" s="144"/>
      <c r="H45" s="144"/>
      <c r="I45" s="144"/>
    </row>
    <row r="46" spans="1:9">
      <c r="A46" s="142" t="s">
        <v>548</v>
      </c>
      <c r="B46" s="144"/>
      <c r="C46" s="144"/>
      <c r="D46" s="144"/>
      <c r="E46" s="144"/>
      <c r="F46" s="144"/>
      <c r="G46" s="144"/>
      <c r="H46" s="144"/>
      <c r="I46" s="144"/>
    </row>
    <row r="47" spans="1:9">
      <c r="A47" s="142" t="s">
        <v>549</v>
      </c>
      <c r="B47" s="144"/>
      <c r="C47" s="144"/>
      <c r="D47" s="144"/>
      <c r="E47" s="144"/>
      <c r="F47" s="144"/>
      <c r="G47" s="144"/>
      <c r="H47" s="144"/>
      <c r="I47" s="144"/>
    </row>
    <row r="48" spans="1:9">
      <c r="A48" s="142" t="s">
        <v>550</v>
      </c>
      <c r="B48" s="144"/>
      <c r="C48" s="144"/>
      <c r="D48" s="144"/>
      <c r="E48" s="144"/>
      <c r="F48" s="144"/>
      <c r="G48" s="144"/>
      <c r="H48" s="144"/>
      <c r="I48" s="144"/>
    </row>
    <row r="49" spans="1:9">
      <c r="A49" s="142" t="s">
        <v>551</v>
      </c>
      <c r="B49" s="144"/>
      <c r="C49" s="144"/>
      <c r="D49" s="144"/>
      <c r="E49" s="144"/>
      <c r="F49" s="144"/>
      <c r="G49" s="144"/>
      <c r="H49" s="144"/>
      <c r="I49" s="144"/>
    </row>
    <row r="50" spans="1:9">
      <c r="A50" s="142" t="s">
        <v>552</v>
      </c>
      <c r="B50" s="144"/>
      <c r="C50" s="144"/>
      <c r="D50" s="144"/>
      <c r="E50" s="144"/>
      <c r="F50" s="144"/>
      <c r="G50" s="144"/>
      <c r="H50" s="144"/>
      <c r="I50" s="144"/>
    </row>
    <row r="51" spans="1:9">
      <c r="A51" s="146" t="s">
        <v>553</v>
      </c>
      <c r="B51" s="146"/>
      <c r="C51" s="146"/>
      <c r="D51" s="146"/>
      <c r="E51" s="146"/>
      <c r="F51" s="146"/>
      <c r="G51" s="146"/>
      <c r="H51" s="144"/>
      <c r="I51" s="144"/>
    </row>
    <row r="52" spans="1:9">
      <c r="A52" s="142" t="s">
        <v>554</v>
      </c>
      <c r="B52" s="144"/>
      <c r="C52" s="144"/>
      <c r="D52" s="144"/>
      <c r="E52" s="144"/>
      <c r="F52" s="144"/>
      <c r="G52" s="144"/>
      <c r="H52" s="144"/>
      <c r="I52" s="144"/>
    </row>
    <row r="53" spans="1:9">
      <c r="A53" s="142" t="s">
        <v>555</v>
      </c>
      <c r="B53" s="144"/>
      <c r="C53" s="144"/>
      <c r="D53" s="144"/>
      <c r="E53" s="144"/>
      <c r="F53" s="144"/>
      <c r="G53" s="144"/>
      <c r="H53" s="144"/>
      <c r="I53" s="144"/>
    </row>
    <row r="54" spans="1:9">
      <c r="A54" s="142" t="s">
        <v>556</v>
      </c>
      <c r="B54" s="144"/>
      <c r="C54" s="144"/>
      <c r="D54" s="144"/>
      <c r="E54" s="144"/>
      <c r="F54" s="144"/>
      <c r="G54" s="144"/>
      <c r="H54" s="144"/>
      <c r="I54" s="144"/>
    </row>
    <row r="55" spans="1:9">
      <c r="A55" s="142" t="s">
        <v>499</v>
      </c>
      <c r="B55" s="144"/>
      <c r="C55" s="144"/>
      <c r="D55" s="144"/>
      <c r="E55" s="144"/>
      <c r="F55" s="144"/>
      <c r="G55" s="144"/>
      <c r="H55" s="144"/>
      <c r="I55" s="144"/>
    </row>
    <row r="56" spans="1:9">
      <c r="A56" s="146" t="s">
        <v>557</v>
      </c>
      <c r="B56" s="146"/>
      <c r="C56" s="146"/>
      <c r="D56" s="146"/>
      <c r="E56" s="146"/>
      <c r="F56" s="146"/>
      <c r="G56" s="146"/>
      <c r="H56" s="144"/>
      <c r="I56" s="144"/>
    </row>
    <row r="57" spans="1:9">
      <c r="A57" s="146" t="s">
        <v>558</v>
      </c>
      <c r="B57" s="146"/>
      <c r="C57" s="146"/>
      <c r="D57" s="146"/>
      <c r="E57" s="146"/>
      <c r="F57" s="146"/>
      <c r="G57" s="146"/>
      <c r="H57" s="144"/>
      <c r="I57" s="144"/>
    </row>
    <row r="58" spans="1:9">
      <c r="A58" t="s">
        <v>559</v>
      </c>
      <c r="B58" s="144"/>
      <c r="C58" s="144"/>
      <c r="D58" s="144"/>
      <c r="E58" s="144"/>
      <c r="F58" s="144"/>
      <c r="G58" s="144"/>
      <c r="H58" s="144"/>
      <c r="I58" s="144"/>
    </row>
    <row r="59" spans="1:9">
      <c r="A59" s="146" t="s">
        <v>560</v>
      </c>
      <c r="B59" s="146"/>
      <c r="C59" s="146"/>
      <c r="D59" s="146"/>
      <c r="E59" s="146"/>
      <c r="F59" s="146"/>
      <c r="G59" s="146"/>
      <c r="H59" s="144"/>
      <c r="I59" s="144"/>
    </row>
    <row r="60" spans="1:9">
      <c r="A60" t="s">
        <v>561</v>
      </c>
      <c r="B60" s="144"/>
      <c r="C60" s="144"/>
      <c r="D60" s="144"/>
      <c r="E60" s="144"/>
      <c r="F60" s="144"/>
      <c r="G60" s="144"/>
      <c r="H60" s="144"/>
      <c r="I60" s="144"/>
    </row>
    <row r="61" spans="1:9">
      <c r="A61" t="s">
        <v>562</v>
      </c>
      <c r="B61" s="144"/>
      <c r="C61" s="144"/>
      <c r="D61" s="144"/>
      <c r="E61" s="144"/>
      <c r="F61" s="144"/>
      <c r="G61" s="144"/>
      <c r="H61" s="144"/>
      <c r="I61" s="144"/>
    </row>
    <row r="62" spans="1:9">
      <c r="A62" t="s">
        <v>563</v>
      </c>
      <c r="B62" s="144"/>
      <c r="C62" s="144"/>
      <c r="D62" s="144"/>
      <c r="E62" s="144"/>
      <c r="F62" s="144"/>
      <c r="G62" s="144"/>
      <c r="H62" s="144"/>
      <c r="I62" s="144"/>
    </row>
    <row r="63" spans="1:9">
      <c r="A63" s="146" t="s">
        <v>564</v>
      </c>
      <c r="B63" s="146"/>
      <c r="C63" s="146"/>
      <c r="D63" s="146"/>
      <c r="E63" s="146"/>
      <c r="F63" s="146"/>
      <c r="G63" s="146"/>
      <c r="H63" s="144"/>
      <c r="I63" s="144"/>
    </row>
    <row r="64" spans="1:9">
      <c r="A64" t="s">
        <v>565</v>
      </c>
      <c r="B64" s="144"/>
      <c r="C64" s="144"/>
      <c r="D64" s="144"/>
      <c r="E64" s="144"/>
      <c r="F64" s="144"/>
      <c r="G64" s="144"/>
      <c r="H64" s="144"/>
      <c r="I64" s="144"/>
    </row>
    <row r="65" spans="1:9">
      <c r="A65" s="146" t="s">
        <v>517</v>
      </c>
      <c r="B65" s="146"/>
      <c r="C65" s="146"/>
      <c r="D65" s="146"/>
      <c r="E65" s="146"/>
      <c r="F65" s="146"/>
      <c r="G65" s="146"/>
      <c r="H65" s="144"/>
      <c r="I65" s="144"/>
    </row>
    <row r="66" spans="1:9">
      <c r="A66" t="s">
        <v>566</v>
      </c>
      <c r="B66" s="144"/>
      <c r="C66" s="144"/>
      <c r="D66" s="144"/>
      <c r="E66" s="144"/>
      <c r="F66" s="144"/>
      <c r="G66" s="144"/>
      <c r="H66" s="144"/>
      <c r="I66" s="144"/>
    </row>
    <row r="67" spans="1:9">
      <c r="A67" s="146" t="s">
        <v>567</v>
      </c>
      <c r="B67" s="146"/>
      <c r="C67" s="146"/>
      <c r="D67" s="146"/>
      <c r="E67" s="146"/>
      <c r="F67" s="146"/>
      <c r="G67" s="146"/>
      <c r="H67" s="144"/>
      <c r="I67" s="144"/>
    </row>
    <row r="68" spans="1:9">
      <c r="A68" t="s">
        <v>568</v>
      </c>
      <c r="B68" s="144"/>
      <c r="C68" s="144"/>
      <c r="D68" s="144"/>
      <c r="E68" s="144"/>
      <c r="F68" s="144"/>
      <c r="G68" s="144"/>
      <c r="H68" s="144"/>
      <c r="I68" s="144"/>
    </row>
    <row r="69" spans="1:9">
      <c r="A69" s="146" t="s">
        <v>569</v>
      </c>
      <c r="B69" s="146"/>
      <c r="C69" s="146"/>
      <c r="D69" s="146"/>
      <c r="E69" s="146"/>
      <c r="F69" s="146"/>
      <c r="G69" s="146"/>
    </row>
    <row r="70" spans="1:9">
      <c r="A70" t="s">
        <v>570</v>
      </c>
    </row>
    <row r="71" spans="1:9">
      <c r="A71" s="146" t="s">
        <v>553</v>
      </c>
      <c r="B71" s="146"/>
      <c r="C71" s="146"/>
      <c r="D71" s="146"/>
      <c r="E71" s="146"/>
      <c r="F71" s="146"/>
      <c r="G71" s="146"/>
    </row>
    <row r="72" spans="1:9">
      <c r="A72" t="s">
        <v>571</v>
      </c>
    </row>
    <row r="73" spans="1:9">
      <c r="A73" s="146" t="s">
        <v>572</v>
      </c>
      <c r="B73" s="146"/>
      <c r="C73" s="146"/>
      <c r="D73" s="146"/>
      <c r="E73" s="146"/>
      <c r="F73" s="146"/>
      <c r="G73" s="146"/>
    </row>
    <row r="74" spans="1:9">
      <c r="A74" t="s">
        <v>573</v>
      </c>
    </row>
    <row r="75" spans="1:9">
      <c r="A75" s="142" t="s">
        <v>499</v>
      </c>
    </row>
    <row r="76" spans="1:9">
      <c r="A76" s="146" t="s">
        <v>574</v>
      </c>
      <c r="B76" s="146"/>
      <c r="C76" s="146"/>
      <c r="D76" s="146"/>
      <c r="E76" s="146"/>
      <c r="F76" s="146"/>
      <c r="G76" s="146"/>
    </row>
    <row r="77" spans="1:9">
      <c r="A77" t="s">
        <v>575</v>
      </c>
    </row>
    <row r="78" spans="1:9">
      <c r="A78" t="s">
        <v>576</v>
      </c>
    </row>
    <row r="79" spans="1:9">
      <c r="A79" t="s">
        <v>577</v>
      </c>
    </row>
    <row r="80" spans="1:9">
      <c r="A80" t="s">
        <v>578</v>
      </c>
    </row>
    <row r="81" spans="1:7">
      <c r="A81" t="s">
        <v>579</v>
      </c>
    </row>
    <row r="82" spans="1:7">
      <c r="A82" t="s">
        <v>580</v>
      </c>
    </row>
    <row r="83" spans="1:7">
      <c r="A83" t="s">
        <v>581</v>
      </c>
    </row>
    <row r="84" spans="1:7">
      <c r="A84" t="s">
        <v>582</v>
      </c>
    </row>
    <row r="85" spans="1:7">
      <c r="A85" t="s">
        <v>583</v>
      </c>
    </row>
    <row r="86" spans="1:7">
      <c r="A86" t="s">
        <v>584</v>
      </c>
    </row>
    <row r="87" spans="1:7">
      <c r="A87" s="142" t="s">
        <v>499</v>
      </c>
    </row>
    <row r="88" spans="1:7">
      <c r="A88" s="146" t="s">
        <v>585</v>
      </c>
      <c r="B88" s="146"/>
      <c r="C88" s="146"/>
      <c r="D88" s="146"/>
      <c r="E88" s="146"/>
      <c r="F88" s="146"/>
      <c r="G88" s="146"/>
    </row>
    <row r="89" spans="1:7">
      <c r="A89" t="s">
        <v>586</v>
      </c>
    </row>
    <row r="90" spans="1:7">
      <c r="A90" s="142" t="s">
        <v>587</v>
      </c>
    </row>
    <row r="91" spans="1:7">
      <c r="A91" s="142" t="s">
        <v>588</v>
      </c>
    </row>
    <row r="92" spans="1:7">
      <c r="A92" s="142" t="s">
        <v>589</v>
      </c>
    </row>
    <row r="93" spans="1:7">
      <c r="A93" s="142" t="s">
        <v>590</v>
      </c>
    </row>
    <row r="94" spans="1:7">
      <c r="A94" s="142" t="s">
        <v>591</v>
      </c>
    </row>
    <row r="95" spans="1:7">
      <c r="A95" s="142" t="s">
        <v>592</v>
      </c>
    </row>
    <row r="96" spans="1:7">
      <c r="A96" s="142" t="s">
        <v>499</v>
      </c>
    </row>
    <row r="97" spans="1:8">
      <c r="A97" s="146" t="s">
        <v>593</v>
      </c>
      <c r="B97" s="146"/>
      <c r="C97" s="146"/>
      <c r="D97" s="146"/>
      <c r="E97" s="146"/>
      <c r="F97" s="146"/>
      <c r="G97" s="146"/>
      <c r="H97" s="146"/>
    </row>
    <row r="98" spans="1:8">
      <c r="A98" s="142" t="s">
        <v>594</v>
      </c>
    </row>
    <row r="99" spans="1:8">
      <c r="A99" s="142" t="s">
        <v>533</v>
      </c>
    </row>
    <row r="100" spans="1:8">
      <c r="A100" s="142" t="s">
        <v>595</v>
      </c>
    </row>
    <row r="101" spans="1:8">
      <c r="A101" s="142" t="s">
        <v>554</v>
      </c>
    </row>
    <row r="102" spans="1:8">
      <c r="A102" s="142" t="s">
        <v>596</v>
      </c>
    </row>
    <row r="103" spans="1:8">
      <c r="A103" s="142" t="s">
        <v>597</v>
      </c>
    </row>
    <row r="104" spans="1:8">
      <c r="A104" s="142" t="s">
        <v>499</v>
      </c>
    </row>
    <row r="105" spans="1:8">
      <c r="A105" s="144"/>
      <c r="B105" s="144"/>
      <c r="C105" s="144"/>
      <c r="D105" s="144"/>
      <c r="E105" s="144"/>
      <c r="F105" s="144"/>
      <c r="G105" s="144"/>
      <c r="H105" s="144"/>
    </row>
    <row r="106" spans="1:8">
      <c r="A106" s="146" t="s">
        <v>598</v>
      </c>
      <c r="B106" s="146"/>
      <c r="C106" s="146"/>
      <c r="D106" s="146"/>
      <c r="E106" s="146"/>
      <c r="F106" s="146"/>
      <c r="G106" s="146"/>
      <c r="H106" s="146"/>
    </row>
    <row r="107" spans="1:8">
      <c r="A107" t="s">
        <v>599</v>
      </c>
    </row>
    <row r="108" spans="1:8">
      <c r="A108" s="146" t="s">
        <v>560</v>
      </c>
    </row>
    <row r="109" spans="1:8">
      <c r="A109" t="s">
        <v>599</v>
      </c>
    </row>
    <row r="110" spans="1:8">
      <c r="A110" s="146" t="s">
        <v>567</v>
      </c>
    </row>
    <row r="111" spans="1:8">
      <c r="A111" t="s">
        <v>599</v>
      </c>
    </row>
    <row r="112" spans="1:8">
      <c r="A112" s="146" t="s">
        <v>600</v>
      </c>
    </row>
    <row r="113" spans="1:1">
      <c r="A113" t="s">
        <v>599</v>
      </c>
    </row>
    <row r="114" spans="1:1">
      <c r="A114" s="146" t="s">
        <v>601</v>
      </c>
    </row>
    <row r="115" spans="1:1">
      <c r="A115" t="s">
        <v>599</v>
      </c>
    </row>
    <row r="116" spans="1:1">
      <c r="A116" s="142" t="s">
        <v>499</v>
      </c>
    </row>
    <row r="117" spans="1:1">
      <c r="A117" s="146" t="s">
        <v>602</v>
      </c>
    </row>
    <row r="118" spans="1:1">
      <c r="A118" t="s">
        <v>603</v>
      </c>
    </row>
    <row r="119" spans="1:1">
      <c r="A119" s="142" t="s">
        <v>604</v>
      </c>
    </row>
    <row r="120" spans="1:1">
      <c r="A120" s="142" t="s">
        <v>605</v>
      </c>
    </row>
    <row r="121" spans="1:1">
      <c r="A121" s="142" t="s">
        <v>606</v>
      </c>
    </row>
    <row r="122" spans="1:1">
      <c r="A122" s="142" t="s">
        <v>607</v>
      </c>
    </row>
    <row r="123" spans="1:1">
      <c r="A123" s="142" t="s">
        <v>608</v>
      </c>
    </row>
    <row r="124" spans="1:1">
      <c r="A124" s="142" t="s">
        <v>609</v>
      </c>
    </row>
    <row r="125" spans="1:1">
      <c r="A125" s="142" t="s">
        <v>610</v>
      </c>
    </row>
    <row r="126" spans="1:1">
      <c r="A126" s="142" t="s">
        <v>499</v>
      </c>
    </row>
    <row r="127" spans="1:1">
      <c r="A127" s="146" t="s">
        <v>611</v>
      </c>
    </row>
    <row r="128" spans="1:1">
      <c r="A128" t="s">
        <v>612</v>
      </c>
    </row>
    <row r="129" spans="1:1">
      <c r="A129" s="142" t="s">
        <v>613</v>
      </c>
    </row>
    <row r="130" spans="1:1">
      <c r="A130" s="142" t="s">
        <v>614</v>
      </c>
    </row>
    <row r="131" spans="1:1">
      <c r="A131" s="142" t="s">
        <v>615</v>
      </c>
    </row>
    <row r="132" spans="1:1">
      <c r="A132" s="142" t="s">
        <v>616</v>
      </c>
    </row>
    <row r="133" spans="1:1">
      <c r="A133" s="142" t="s">
        <v>617</v>
      </c>
    </row>
    <row r="134" spans="1:1">
      <c r="A134" t="s">
        <v>618</v>
      </c>
    </row>
    <row r="135" spans="1:1">
      <c r="A135" s="142" t="s">
        <v>499</v>
      </c>
    </row>
    <row r="136" spans="1:1">
      <c r="A136" s="146" t="s">
        <v>619</v>
      </c>
    </row>
    <row r="137" spans="1:1">
      <c r="A137" s="142" t="s">
        <v>620</v>
      </c>
    </row>
    <row r="138" spans="1:1">
      <c r="A138" s="142" t="s">
        <v>621</v>
      </c>
    </row>
    <row r="139" spans="1:1">
      <c r="A139" s="142" t="s">
        <v>622</v>
      </c>
    </row>
    <row r="140" spans="1:1">
      <c r="A140" s="142" t="s">
        <v>623</v>
      </c>
    </row>
    <row r="141" spans="1:1">
      <c r="A141" s="142" t="s">
        <v>624</v>
      </c>
    </row>
    <row r="142" spans="1:1">
      <c r="A142" s="142" t="s">
        <v>625</v>
      </c>
    </row>
    <row r="143" spans="1:1">
      <c r="A143" s="142" t="s">
        <v>499</v>
      </c>
    </row>
    <row r="144" spans="1:1">
      <c r="A144" s="146" t="s">
        <v>626</v>
      </c>
    </row>
    <row r="145" spans="1:1">
      <c r="A145" t="s">
        <v>627</v>
      </c>
    </row>
  </sheetData>
  <mergeCells count="3">
    <mergeCell ref="A1:H1"/>
    <mergeCell ref="A2:H2"/>
    <mergeCell ref="A4:H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6D1D2602-2BCB-401B-BB91-781074CFC3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2026-09-08T08:37:06Z</dcterms:created>
  <dcterms:modified xsi:type="dcterms:W3CDTF">2026-10-11T07:07:24Z</dcterms:modified>
  <cp:category/>
  <cp:contentStatus/>
</cp:coreProperties>
</file>